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Downloads/"/>
    </mc:Choice>
  </mc:AlternateContent>
  <xr:revisionPtr revIDLastSave="0" documentId="13_ncr:1_{E7F5E965-E708-9E40-8402-B2B66D1D439B}" xr6:coauthVersionLast="47" xr6:coauthVersionMax="47" xr10:uidLastSave="{00000000-0000-0000-0000-000000000000}"/>
  <bookViews>
    <workbookView xWindow="0" yWindow="740" windowWidth="30240" windowHeight="18900" xr2:uid="{4BE09A8A-A206-BA43-AE7F-82087BAD50EC}"/>
  </bookViews>
  <sheets>
    <sheet name="PS10~60" sheetId="2" r:id="rId1"/>
    <sheet name="Latecy" sheetId="3" r:id="rId2"/>
    <sheet name="Bandwidt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D5" i="3"/>
  <c r="C5" i="3"/>
  <c r="B5" i="3"/>
  <c r="E5" i="3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</calcChain>
</file>

<file path=xl/sharedStrings.xml><?xml version="1.0" encoding="utf-8"?>
<sst xmlns="http://schemas.openxmlformats.org/spreadsheetml/2006/main" count="170" uniqueCount="159">
  <si>
    <t>FOM                  =  20424.335 (z/s)</t>
  </si>
  <si>
    <t>FOM                  =  33854.976 (z/s)</t>
  </si>
  <si>
    <t>FOM                  =  36867.728 (z/s)</t>
  </si>
  <si>
    <t>FOM                  =  37387.337 (z/s)</t>
  </si>
  <si>
    <t>s=60</t>
  </si>
  <si>
    <t>FOM                  =  19210.503 (z/s)</t>
  </si>
  <si>
    <t>FOM                  =  28797.251 (z/s)</t>
  </si>
  <si>
    <t>FOM                  =  37267.325 (z/s)</t>
  </si>
  <si>
    <t>FOM                  =  37600.175 (z/s)</t>
  </si>
  <si>
    <t>s=50</t>
  </si>
  <si>
    <t>FOM                  =  13349.764 (z/s)</t>
  </si>
  <si>
    <t>FOM                  =  21084.586 (z/s)</t>
  </si>
  <si>
    <t>FOM                  =  34855.399 (z/s)</t>
  </si>
  <si>
    <t>FOM                  =  35584.966 (z/s)</t>
  </si>
  <si>
    <t>s=40</t>
  </si>
  <si>
    <t>FOM                  =  8538.6028 (z/s)</t>
  </si>
  <si>
    <t>FOM                  =  11880.457 (z/s)</t>
  </si>
  <si>
    <t>FOM                  =  29674.716 (z/s)</t>
  </si>
  <si>
    <t>FOM                  =  30642.467 (z/s)</t>
  </si>
  <si>
    <t>s=30</t>
  </si>
  <si>
    <t>FOM                  =  3220.1873 (z/s)</t>
  </si>
  <si>
    <t>FOM                  =  4347.7961 (z/s)</t>
  </si>
  <si>
    <t>FOM                  =  20420.144 (z/s)</t>
  </si>
  <si>
    <t>FOM                  =  21121.981 (z/s)</t>
    <phoneticPr fontId="1"/>
  </si>
  <si>
    <t>s=20</t>
    <phoneticPr fontId="1"/>
  </si>
  <si>
    <t>FOM                  =  482.13217 (z/s)</t>
  </si>
  <si>
    <t>FOM                  =  594.53195 (z/s)</t>
  </si>
  <si>
    <t>FOM                  =  4991.1394 (z/s)</t>
  </si>
  <si>
    <t>FOM                  =  5418.2274 (z/s)</t>
    <phoneticPr fontId="1"/>
  </si>
  <si>
    <t>s=10</t>
    <phoneticPr fontId="1"/>
  </si>
  <si>
    <t>TEE+Enc (Proposal)</t>
    <phoneticPr fontId="1"/>
  </si>
  <si>
    <t>TEE+Unenc</t>
    <phoneticPr fontId="1"/>
  </si>
  <si>
    <t>Native+Enc</t>
    <phoneticPr fontId="1"/>
  </si>
  <si>
    <t>Native+Unenc (Baseline)</t>
    <phoneticPr fontId="1"/>
  </si>
  <si>
    <t xml:space="preserve">       #bytes #repetitions      t[usec]   Mbytes/sec</t>
  </si>
  <si>
    <t>TEE + Enc</t>
    <phoneticPr fontId="1"/>
  </si>
  <si>
    <t>TEE＋Unenc</t>
    <phoneticPr fontId="1"/>
  </si>
  <si>
    <t>Native + Enc</t>
    <phoneticPr fontId="1"/>
  </si>
  <si>
    <t>Native + Unenc</t>
    <phoneticPr fontId="1"/>
  </si>
  <si>
    <r>
      <t>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15.43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0.00</t>
    </r>
  </si>
  <si>
    <r>
      <t>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15.31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0.07</t>
    </r>
  </si>
  <si>
    <r>
      <t>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0.13</t>
    </r>
  </si>
  <si>
    <r>
      <t>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15.50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0.26</t>
    </r>
  </si>
  <si>
    <r>
      <t>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15.31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0.52</t>
    </r>
  </si>
  <si>
    <r>
      <t>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15.37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1.04</t>
    </r>
  </si>
  <si>
    <r>
      <t>32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15.53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2.06</t>
    </r>
  </si>
  <si>
    <r>
      <t>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15.56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4.11</t>
    </r>
  </si>
  <si>
    <r>
      <t>128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15.71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8.15</t>
    </r>
  </si>
  <si>
    <r>
      <t>256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17.09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14.98</t>
    </r>
  </si>
  <si>
    <r>
      <t>512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17.59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29.11</t>
    </r>
  </si>
  <si>
    <r>
      <t>1024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18.54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55.24</t>
    </r>
  </si>
  <si>
    <r>
      <t>2048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30.82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66.44</t>
    </r>
  </si>
  <si>
    <r>
      <t>4096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32.87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124.60</t>
    </r>
  </si>
  <si>
    <r>
      <t>8192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38.11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214.93</t>
    </r>
  </si>
  <si>
    <r>
      <t>16384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39.12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418.79</t>
    </r>
  </si>
  <si>
    <r>
      <t>32768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64.63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507.03</t>
    </r>
  </si>
  <si>
    <r>
      <t>65536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140.17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467.55</t>
    </r>
  </si>
  <si>
    <r>
      <t>131072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199.65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656.51</t>
    </r>
  </si>
  <si>
    <r>
      <t>262144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314.63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833.17</t>
    </r>
  </si>
  <si>
    <r>
      <t>524288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548.07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956.61</t>
    </r>
  </si>
  <si>
    <r>
      <t>1048576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1003.61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1044.80</t>
    </r>
  </si>
  <si>
    <r>
      <t>2097152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1922.77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1090.69</t>
    </r>
  </si>
  <si>
    <r>
      <t>4194304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3771.50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1112.11</t>
    </r>
  </si>
  <si>
    <r>
      <t>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21.21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0.00</t>
    </r>
  </si>
  <si>
    <r>
      <t>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0.05</t>
    </r>
  </si>
  <si>
    <r>
      <t>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21.39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0.09</t>
    </r>
  </si>
  <si>
    <r>
      <t>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21.35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0.19</t>
    </r>
  </si>
  <si>
    <r>
      <t>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0.37</t>
    </r>
  </si>
  <si>
    <r>
      <t>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21.76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0.74</t>
    </r>
  </si>
  <si>
    <r>
      <t>32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21.87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1.46</t>
    </r>
  </si>
  <si>
    <r>
      <t>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21.95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2.92</t>
    </r>
  </si>
  <si>
    <r>
      <t>128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22.17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5.77</t>
    </r>
  </si>
  <si>
    <r>
      <t>256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23.65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10.83</t>
    </r>
  </si>
  <si>
    <r>
      <t>512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24.40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20.98</t>
    </r>
  </si>
  <si>
    <r>
      <t>1024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25.61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39.98</t>
    </r>
  </si>
  <si>
    <r>
      <t>2048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39.23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52.21</t>
    </r>
  </si>
  <si>
    <r>
      <t>4096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40.47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101.20</t>
    </r>
  </si>
  <si>
    <r>
      <t>8192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50.73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161.50</t>
    </r>
  </si>
  <si>
    <r>
      <t>16384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53.41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306.74</t>
    </r>
  </si>
  <si>
    <r>
      <t>32768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87.84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373.04</t>
    </r>
  </si>
  <si>
    <r>
      <t>65536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173.74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377.20</t>
    </r>
  </si>
  <si>
    <r>
      <t>131072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273.92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478.50</t>
    </r>
  </si>
  <si>
    <r>
      <t>262144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460.71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569.00</t>
    </r>
  </si>
  <si>
    <r>
      <t>524288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812.99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644.89</t>
    </r>
  </si>
  <si>
    <r>
      <t>1048576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1514.85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692.20</t>
    </r>
  </si>
  <si>
    <r>
      <t>2097152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2979.33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703.90</t>
    </r>
  </si>
  <si>
    <r>
      <t>4194304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5954.40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704.40</t>
    </r>
  </si>
  <si>
    <r>
      <t>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83.27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0.00</t>
    </r>
  </si>
  <si>
    <r>
      <t>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84.00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0.01</t>
    </r>
  </si>
  <si>
    <r>
      <t>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83.14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0.02</t>
    </r>
  </si>
  <si>
    <r>
      <t>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0.05</t>
    </r>
  </si>
  <si>
    <r>
      <t>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83.42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0.10</t>
    </r>
  </si>
  <si>
    <r>
      <t>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83.74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0.19</t>
    </r>
  </si>
  <si>
    <r>
      <t>32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0.38</t>
    </r>
  </si>
  <si>
    <r>
      <t>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83.71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0.76</t>
    </r>
  </si>
  <si>
    <r>
      <t>128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83.61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1.53</t>
    </r>
  </si>
  <si>
    <r>
      <t>256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85.42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3.00</t>
    </r>
  </si>
  <si>
    <r>
      <t>512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86.27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5.93</t>
    </r>
  </si>
  <si>
    <r>
      <t>1024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87.14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11.75</t>
    </r>
  </si>
  <si>
    <r>
      <t>2048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90.16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22.72</t>
    </r>
  </si>
  <si>
    <r>
      <t>4096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92.05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44.50</t>
    </r>
  </si>
  <si>
    <r>
      <t>8192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112.60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72.75</t>
    </r>
  </si>
  <si>
    <r>
      <t>16384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113.15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144.80</t>
    </r>
  </si>
  <si>
    <r>
      <t>32768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181.64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180.40</t>
    </r>
  </si>
  <si>
    <r>
      <t>65536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379.80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172.55</t>
    </r>
  </si>
  <si>
    <r>
      <t>131072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463.17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282.99</t>
    </r>
  </si>
  <si>
    <r>
      <t>262144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626.99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418.10</t>
    </r>
  </si>
  <si>
    <r>
      <t>524288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969.46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540.80</t>
    </r>
  </si>
  <si>
    <r>
      <t>1048576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1648.39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636.12</t>
    </r>
  </si>
  <si>
    <r>
      <t>2097152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3131.65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669.66</t>
    </r>
  </si>
  <si>
    <r>
      <t>4194304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6894.00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608.40</t>
    </r>
  </si>
  <si>
    <r>
      <t>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135.92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0.00</t>
    </r>
  </si>
  <si>
    <r>
      <t>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129.88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0.01</t>
    </r>
  </si>
  <si>
    <r>
      <t>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127.44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0.02</t>
    </r>
  </si>
  <si>
    <r>
      <t>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136.72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0.03</t>
    </r>
  </si>
  <si>
    <r>
      <t>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130.16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0.06</t>
    </r>
  </si>
  <si>
    <r>
      <t>16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129.20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0.12</t>
    </r>
  </si>
  <si>
    <r>
      <t>32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138.65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0.23</t>
    </r>
  </si>
  <si>
    <r>
      <t>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134.73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0.48</t>
    </r>
  </si>
  <si>
    <r>
      <t>128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132.35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0.97</t>
    </r>
  </si>
  <si>
    <r>
      <t>256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133.64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1.92</t>
    </r>
  </si>
  <si>
    <r>
      <t>512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139.10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3.68</t>
    </r>
  </si>
  <si>
    <r>
      <t>1024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133.95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7.64</t>
    </r>
  </si>
  <si>
    <r>
      <t>2048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139.59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14.67</t>
    </r>
  </si>
  <si>
    <r>
      <t>4096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159.53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25.67</t>
    </r>
  </si>
  <si>
    <r>
      <t>8192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164.26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49.87</t>
    </r>
  </si>
  <si>
    <r>
      <t>16384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151.08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108.44</t>
    </r>
  </si>
  <si>
    <r>
      <t>32768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233.40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140.40</t>
    </r>
  </si>
  <si>
    <r>
      <t>65536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640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437.45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149.81</t>
    </r>
  </si>
  <si>
    <r>
      <t>131072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554.00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236.59</t>
    </r>
  </si>
  <si>
    <r>
      <t>262144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160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774.21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338.60</t>
    </r>
  </si>
  <si>
    <r>
      <t>524288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1212.26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432.49</t>
    </r>
  </si>
  <si>
    <r>
      <t>1048576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2127.75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492.81</t>
    </r>
  </si>
  <si>
    <r>
      <t>2097152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20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4079.32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514.09</t>
    </r>
  </si>
  <si>
    <r>
      <t>4194304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8974.66</t>
    </r>
    <r>
      <rPr>
        <sz val="12"/>
        <color rgb="FFE4E4E4"/>
        <rFont val="Menlo"/>
        <family val="2"/>
      </rPr>
      <t xml:space="preserve"> </t>
    </r>
    <r>
      <rPr>
        <sz val="12"/>
        <color rgb="FFEBC88D"/>
        <rFont val="Menlo"/>
        <family val="2"/>
      </rPr>
      <t>467.35</t>
    </r>
  </si>
  <si>
    <t>1KB</t>
    <phoneticPr fontId="1"/>
  </si>
  <si>
    <t>2KB</t>
  </si>
  <si>
    <t>4KB</t>
    <phoneticPr fontId="1"/>
  </si>
  <si>
    <t>8KB</t>
    <phoneticPr fontId="1"/>
  </si>
  <si>
    <t>16KB</t>
    <phoneticPr fontId="1"/>
  </si>
  <si>
    <t>32KB</t>
    <phoneticPr fontId="1"/>
  </si>
  <si>
    <t>64KB</t>
    <phoneticPr fontId="1"/>
  </si>
  <si>
    <t>128KB</t>
    <phoneticPr fontId="1"/>
  </si>
  <si>
    <t>256KB</t>
    <phoneticPr fontId="1"/>
  </si>
  <si>
    <t>512KB</t>
    <phoneticPr fontId="1"/>
  </si>
  <si>
    <t>1MB</t>
    <phoneticPr fontId="1"/>
  </si>
  <si>
    <t>2MB</t>
    <phoneticPr fontId="1"/>
  </si>
  <si>
    <t>4MB</t>
    <phoneticPr fontId="1"/>
  </si>
  <si>
    <t>Latency</t>
    <phoneticPr fontId="1"/>
  </si>
  <si>
    <t>1B</t>
    <phoneticPr fontId="1"/>
  </si>
  <si>
    <t>2B</t>
  </si>
  <si>
    <t>4B</t>
    <phoneticPr fontId="1"/>
  </si>
  <si>
    <t>8B</t>
    <phoneticPr fontId="1"/>
  </si>
  <si>
    <t>16B</t>
    <phoneticPr fontId="1"/>
  </si>
  <si>
    <t>32B</t>
    <phoneticPr fontId="1"/>
  </si>
  <si>
    <t>64B</t>
    <phoneticPr fontId="1"/>
  </si>
  <si>
    <t>128B</t>
    <phoneticPr fontId="1"/>
  </si>
  <si>
    <t>256B</t>
    <phoneticPr fontId="1"/>
  </si>
  <si>
    <t>512B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</si>
</sst>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3"/>
      <color theme="1"/>
      <name val="Helvetica Neue"/>
      <family val="2"/>
    </font>
    <font>
      <sz val="12"/>
      <color rgb="FFE4E4E4"/>
      <name val="Menlo"/>
      <family val="2"/>
    </font>
    <font>
      <sz val="12"/>
      <color rgb="FFEFB080"/>
      <name val="Menlo"/>
      <family val="2"/>
    </font>
    <font>
      <sz val="12"/>
      <color rgb="FFEBC88D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'PS10~60'!$B$1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'PS10~60'!$A$12:$A$17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'PS10~60'!$B$12:$B$17</c:f>
              <c:numCache>
                <c:formatCode>General</c:formatCode>
                <c:ptCount val="6"/>
                <c:pt idx="0">
                  <c:v>5418.2273999999998</c:v>
                </c:pt>
                <c:pt idx="1">
                  <c:v>21121.981</c:v>
                </c:pt>
                <c:pt idx="2">
                  <c:v>30642.467000000001</c:v>
                </c:pt>
                <c:pt idx="3">
                  <c:v>35584.966</c:v>
                </c:pt>
                <c:pt idx="4">
                  <c:v>37600.175000000003</c:v>
                </c:pt>
                <c:pt idx="5">
                  <c:v>37387.337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B-6646-86A1-E887F740A556}"/>
            </c:ext>
          </c:extLst>
        </c:ser>
        <c:ser>
          <c:idx val="1"/>
          <c:order val="1"/>
          <c:tx>
            <c:strRef>
              <c:f>'PS10~60'!$C$1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'PS10~60'!$A$12:$A$17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'PS10~60'!$C$12:$C$17</c:f>
              <c:numCache>
                <c:formatCode>General</c:formatCode>
                <c:ptCount val="6"/>
                <c:pt idx="0">
                  <c:v>4991.1394</c:v>
                </c:pt>
                <c:pt idx="1">
                  <c:v>20420.144</c:v>
                </c:pt>
                <c:pt idx="2">
                  <c:v>29674.716</c:v>
                </c:pt>
                <c:pt idx="3">
                  <c:v>34855.398999999998</c:v>
                </c:pt>
                <c:pt idx="4">
                  <c:v>37267.324999999997</c:v>
                </c:pt>
                <c:pt idx="5">
                  <c:v>36867.728000000003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B-6646-86A1-E887F740A556}"/>
            </c:ext>
          </c:extLst>
        </c:ser>
        <c:ser>
          <c:idx val="2"/>
          <c:order val="2"/>
          <c:tx>
            <c:strRef>
              <c:f>'PS10~60'!$D$1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'PS10~60'!$A$12:$A$17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'PS10~60'!$D$12:$D$17</c:f>
              <c:numCache>
                <c:formatCode>General</c:formatCode>
                <c:ptCount val="6"/>
                <c:pt idx="0">
                  <c:v>594.53195000000005</c:v>
                </c:pt>
                <c:pt idx="1">
                  <c:v>4347.7960999999996</c:v>
                </c:pt>
                <c:pt idx="2">
                  <c:v>11880.457</c:v>
                </c:pt>
                <c:pt idx="3">
                  <c:v>21084.585999999999</c:v>
                </c:pt>
                <c:pt idx="4">
                  <c:v>28797.251</c:v>
                </c:pt>
                <c:pt idx="5">
                  <c:v>33854.976000000002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B-6646-86A1-E887F740A556}"/>
            </c:ext>
          </c:extLst>
        </c:ser>
        <c:ser>
          <c:idx val="3"/>
          <c:order val="3"/>
          <c:tx>
            <c:strRef>
              <c:f>'PS10~60'!$E$1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'PS10~60'!$A$12:$A$17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'PS10~60'!$E$12:$E$17</c:f>
              <c:numCache>
                <c:formatCode>General</c:formatCode>
                <c:ptCount val="6"/>
                <c:pt idx="0">
                  <c:v>482.13216999999997</c:v>
                </c:pt>
                <c:pt idx="1">
                  <c:v>3220.1873000000001</c:v>
                </c:pt>
                <c:pt idx="2">
                  <c:v>8538.6028000000006</c:v>
                </c:pt>
                <c:pt idx="3">
                  <c:v>13349.763999999999</c:v>
                </c:pt>
                <c:pt idx="4">
                  <c:v>19210.503000000001</c:v>
                </c:pt>
                <c:pt idx="5">
                  <c:v>20424.334999999999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B-6646-86A1-E887F740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47984"/>
        <c:axId val="390149696"/>
      </c:barChart>
      <c:catAx>
        <c:axId val="3901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Problem Size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49696"/>
        <c:crosses val="autoZero"/>
        <c:auto val="1"/>
        <c:lblAlgn val="ctr"/>
        <c:lblOffset val="100"/>
        <c:noMultiLvlLbl val="0"/>
      </c:catAx>
      <c:valAx>
        <c:axId val="3901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 (zones/s)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014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16754155730534"/>
          <c:y val="0.10479758212041679"/>
          <c:w val="0.29018328958880141"/>
          <c:h val="0.25547177814894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2C-604B-A5B1-18E9A71211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2C-604B-A5B1-18E9A71211D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2C-604B-A5B1-18E9A71211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2C-604B-A5B1-18E9A71211D1}"/>
              </c:ext>
            </c:extLst>
          </c:dPt>
          <c:cat>
            <c:strRef>
              <c:f>Latecy!$B$2:$E$2</c:f>
              <c:strCache>
                <c:ptCount val="4"/>
                <c:pt idx="0">
                  <c:v>Native + Unenc</c:v>
                </c:pt>
                <c:pt idx="1">
                  <c:v>Native + Enc</c:v>
                </c:pt>
                <c:pt idx="2">
                  <c:v>TEE＋Unenc</c:v>
                </c:pt>
                <c:pt idx="3">
                  <c:v>TEE + Enc</c:v>
                </c:pt>
              </c:strCache>
            </c:strRef>
          </c:cat>
          <c:val>
            <c:numRef>
              <c:f>Latecy!$B$5:$E$5</c:f>
              <c:numCache>
                <c:formatCode>General</c:formatCode>
                <c:ptCount val="4"/>
                <c:pt idx="0">
                  <c:v>7.6550000000000002</c:v>
                </c:pt>
                <c:pt idx="1">
                  <c:v>10.7</c:v>
                </c:pt>
                <c:pt idx="2">
                  <c:v>42</c:v>
                </c:pt>
                <c:pt idx="3">
                  <c:v>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C-604B-A5B1-18E9A712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428112"/>
        <c:axId val="734797504"/>
      </c:barChart>
      <c:catAx>
        <c:axId val="73442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 Environment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797504"/>
        <c:crosses val="autoZero"/>
        <c:auto val="1"/>
        <c:lblAlgn val="ctr"/>
        <c:lblOffset val="100"/>
        <c:noMultiLvlLbl val="0"/>
      </c:catAx>
      <c:valAx>
        <c:axId val="7347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 b="1" i="0" u="none" strike="noStrike" kern="1200" baseline="0">
                    <a:solidFill>
                      <a:sysClr val="windowText" lastClr="000000"/>
                    </a:solidFill>
                  </a:rPr>
                  <a:t>Latency [usec]</a:t>
                </a:r>
                <a:endParaRPr lang="ja-JP" altLang="ja-JP" sz="20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42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Bandwidth!$E$1</c:f>
              <c:strCache>
                <c:ptCount val="1"/>
                <c:pt idx="0">
                  <c:v>Native + Unenc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Bandwidth!$A$27:$A$50</c:f>
              <c:strCache>
                <c:ptCount val="24"/>
                <c:pt idx="1">
                  <c:v>1B</c:v>
                </c:pt>
                <c:pt idx="2">
                  <c:v>2B</c:v>
                </c:pt>
                <c:pt idx="3">
                  <c:v>4B</c:v>
                </c:pt>
                <c:pt idx="4">
                  <c:v>8B</c:v>
                </c:pt>
                <c:pt idx="5">
                  <c:v>16B</c:v>
                </c:pt>
                <c:pt idx="6">
                  <c:v>32B</c:v>
                </c:pt>
                <c:pt idx="7">
                  <c:v>64B</c:v>
                </c:pt>
                <c:pt idx="8">
                  <c:v>128B</c:v>
                </c:pt>
                <c:pt idx="9">
                  <c:v>256B</c:v>
                </c:pt>
                <c:pt idx="10">
                  <c:v>512B</c:v>
                </c:pt>
                <c:pt idx="11">
                  <c:v>1KB</c:v>
                </c:pt>
                <c:pt idx="12">
                  <c:v>2KB</c:v>
                </c:pt>
                <c:pt idx="13">
                  <c:v>4KB</c:v>
                </c:pt>
                <c:pt idx="14">
                  <c:v>8KB</c:v>
                </c:pt>
                <c:pt idx="15">
                  <c:v>16KB</c:v>
                </c:pt>
                <c:pt idx="16">
                  <c:v>32KB</c:v>
                </c:pt>
                <c:pt idx="17">
                  <c:v>64KB</c:v>
                </c:pt>
                <c:pt idx="18">
                  <c:v>128KB</c:v>
                </c:pt>
                <c:pt idx="19">
                  <c:v>256KB</c:v>
                </c:pt>
                <c:pt idx="20">
                  <c:v>512KB</c:v>
                </c:pt>
                <c:pt idx="21">
                  <c:v>1MB</c:v>
                </c:pt>
                <c:pt idx="22">
                  <c:v>2MB</c:v>
                </c:pt>
                <c:pt idx="23">
                  <c:v>4MB</c:v>
                </c:pt>
              </c:strCache>
            </c:strRef>
          </c:cat>
          <c:val>
            <c:numRef>
              <c:f>Bandwidth!$E$27:$E$50</c:f>
              <c:numCache>
                <c:formatCode>General</c:formatCode>
                <c:ptCount val="24"/>
                <c:pt idx="1">
                  <c:v>5.6000000000000006E-4</c:v>
                </c:pt>
                <c:pt idx="2">
                  <c:v>1.0400000000000001E-3</c:v>
                </c:pt>
                <c:pt idx="3">
                  <c:v>2.0800000000000003E-3</c:v>
                </c:pt>
                <c:pt idx="4">
                  <c:v>4.1600000000000005E-3</c:v>
                </c:pt>
                <c:pt idx="5">
                  <c:v>8.320000000000001E-3</c:v>
                </c:pt>
                <c:pt idx="6">
                  <c:v>1.6480000000000002E-2</c:v>
                </c:pt>
                <c:pt idx="7">
                  <c:v>3.288E-2</c:v>
                </c:pt>
                <c:pt idx="8">
                  <c:v>6.5200000000000008E-2</c:v>
                </c:pt>
                <c:pt idx="9">
                  <c:v>0.11984</c:v>
                </c:pt>
                <c:pt idx="10">
                  <c:v>0.23288</c:v>
                </c:pt>
                <c:pt idx="11">
                  <c:v>0.44192000000000004</c:v>
                </c:pt>
                <c:pt idx="12">
                  <c:v>0.53151999999999999</c:v>
                </c:pt>
                <c:pt idx="13">
                  <c:v>0.99679999999999991</c:v>
                </c:pt>
                <c:pt idx="14">
                  <c:v>1.7194400000000001</c:v>
                </c:pt>
                <c:pt idx="15">
                  <c:v>3.35032</c:v>
                </c:pt>
                <c:pt idx="16">
                  <c:v>4.0562399999999998</c:v>
                </c:pt>
                <c:pt idx="17">
                  <c:v>3.7404000000000002</c:v>
                </c:pt>
                <c:pt idx="18">
                  <c:v>5.2520800000000003</c:v>
                </c:pt>
                <c:pt idx="19">
                  <c:v>6.6653599999999997</c:v>
                </c:pt>
                <c:pt idx="20">
                  <c:v>7.6528799999999997</c:v>
                </c:pt>
                <c:pt idx="21">
                  <c:v>8.3583999999999996</c:v>
                </c:pt>
                <c:pt idx="22">
                  <c:v>8.7255200000000013</c:v>
                </c:pt>
                <c:pt idx="23">
                  <c:v>8.8968799999999995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3-0848-BA4E-138E2C5F6AD4}"/>
            </c:ext>
          </c:extLst>
        </c:ser>
        <c:ser>
          <c:idx val="2"/>
          <c:order val="1"/>
          <c:tx>
            <c:strRef>
              <c:f>Bandwidth!$D$1</c:f>
              <c:strCache>
                <c:ptCount val="1"/>
                <c:pt idx="0">
                  <c:v>Native + Enc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Bandwidth!$A$27:$A$50</c:f>
              <c:strCache>
                <c:ptCount val="24"/>
                <c:pt idx="1">
                  <c:v>1B</c:v>
                </c:pt>
                <c:pt idx="2">
                  <c:v>2B</c:v>
                </c:pt>
                <c:pt idx="3">
                  <c:v>4B</c:v>
                </c:pt>
                <c:pt idx="4">
                  <c:v>8B</c:v>
                </c:pt>
                <c:pt idx="5">
                  <c:v>16B</c:v>
                </c:pt>
                <c:pt idx="6">
                  <c:v>32B</c:v>
                </c:pt>
                <c:pt idx="7">
                  <c:v>64B</c:v>
                </c:pt>
                <c:pt idx="8">
                  <c:v>128B</c:v>
                </c:pt>
                <c:pt idx="9">
                  <c:v>256B</c:v>
                </c:pt>
                <c:pt idx="10">
                  <c:v>512B</c:v>
                </c:pt>
                <c:pt idx="11">
                  <c:v>1KB</c:v>
                </c:pt>
                <c:pt idx="12">
                  <c:v>2KB</c:v>
                </c:pt>
                <c:pt idx="13">
                  <c:v>4KB</c:v>
                </c:pt>
                <c:pt idx="14">
                  <c:v>8KB</c:v>
                </c:pt>
                <c:pt idx="15">
                  <c:v>16KB</c:v>
                </c:pt>
                <c:pt idx="16">
                  <c:v>32KB</c:v>
                </c:pt>
                <c:pt idx="17">
                  <c:v>64KB</c:v>
                </c:pt>
                <c:pt idx="18">
                  <c:v>128KB</c:v>
                </c:pt>
                <c:pt idx="19">
                  <c:v>256KB</c:v>
                </c:pt>
                <c:pt idx="20">
                  <c:v>512KB</c:v>
                </c:pt>
                <c:pt idx="21">
                  <c:v>1MB</c:v>
                </c:pt>
                <c:pt idx="22">
                  <c:v>2MB</c:v>
                </c:pt>
                <c:pt idx="23">
                  <c:v>4MB</c:v>
                </c:pt>
              </c:strCache>
            </c:strRef>
          </c:cat>
          <c:val>
            <c:numRef>
              <c:f>Bandwidth!$D$27:$D$50</c:f>
              <c:numCache>
                <c:formatCode>General</c:formatCode>
                <c:ptCount val="24"/>
                <c:pt idx="1">
                  <c:v>4.0000000000000002E-4</c:v>
                </c:pt>
                <c:pt idx="2">
                  <c:v>7.1999999999999994E-4</c:v>
                </c:pt>
                <c:pt idx="3">
                  <c:v>1.5200000000000001E-3</c:v>
                </c:pt>
                <c:pt idx="4">
                  <c:v>2.96E-3</c:v>
                </c:pt>
                <c:pt idx="5">
                  <c:v>5.9199999999999999E-3</c:v>
                </c:pt>
                <c:pt idx="6">
                  <c:v>1.1679999999999999E-2</c:v>
                </c:pt>
                <c:pt idx="7">
                  <c:v>2.3359999999999999E-2</c:v>
                </c:pt>
                <c:pt idx="8">
                  <c:v>4.616E-2</c:v>
                </c:pt>
                <c:pt idx="9">
                  <c:v>8.6639999999999995E-2</c:v>
                </c:pt>
                <c:pt idx="10">
                  <c:v>0.16784000000000002</c:v>
                </c:pt>
                <c:pt idx="11">
                  <c:v>0.31983999999999996</c:v>
                </c:pt>
                <c:pt idx="12">
                  <c:v>0.41768</c:v>
                </c:pt>
                <c:pt idx="13">
                  <c:v>0.80959999999999999</c:v>
                </c:pt>
                <c:pt idx="14">
                  <c:v>1.292</c:v>
                </c:pt>
                <c:pt idx="15">
                  <c:v>2.4539200000000001</c:v>
                </c:pt>
                <c:pt idx="16">
                  <c:v>2.9843200000000003</c:v>
                </c:pt>
                <c:pt idx="17">
                  <c:v>3.0175999999999998</c:v>
                </c:pt>
                <c:pt idx="18">
                  <c:v>3.8279999999999998</c:v>
                </c:pt>
                <c:pt idx="19">
                  <c:v>4.5519999999999996</c:v>
                </c:pt>
                <c:pt idx="20">
                  <c:v>5.1591199999999997</c:v>
                </c:pt>
                <c:pt idx="21">
                  <c:v>5.5376000000000003</c:v>
                </c:pt>
                <c:pt idx="22">
                  <c:v>5.6311999999999998</c:v>
                </c:pt>
                <c:pt idx="23">
                  <c:v>5.6352000000000002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3-0848-BA4E-138E2C5F6AD4}"/>
            </c:ext>
          </c:extLst>
        </c:ser>
        <c:ser>
          <c:idx val="1"/>
          <c:order val="2"/>
          <c:tx>
            <c:strRef>
              <c:f>Bandwidth!$C$1</c:f>
              <c:strCache>
                <c:ptCount val="1"/>
                <c:pt idx="0">
                  <c:v>TEE＋Unenc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Bandwidth!$A$27:$A$50</c:f>
              <c:strCache>
                <c:ptCount val="24"/>
                <c:pt idx="1">
                  <c:v>1B</c:v>
                </c:pt>
                <c:pt idx="2">
                  <c:v>2B</c:v>
                </c:pt>
                <c:pt idx="3">
                  <c:v>4B</c:v>
                </c:pt>
                <c:pt idx="4">
                  <c:v>8B</c:v>
                </c:pt>
                <c:pt idx="5">
                  <c:v>16B</c:v>
                </c:pt>
                <c:pt idx="6">
                  <c:v>32B</c:v>
                </c:pt>
                <c:pt idx="7">
                  <c:v>64B</c:v>
                </c:pt>
                <c:pt idx="8">
                  <c:v>128B</c:v>
                </c:pt>
                <c:pt idx="9">
                  <c:v>256B</c:v>
                </c:pt>
                <c:pt idx="10">
                  <c:v>512B</c:v>
                </c:pt>
                <c:pt idx="11">
                  <c:v>1KB</c:v>
                </c:pt>
                <c:pt idx="12">
                  <c:v>2KB</c:v>
                </c:pt>
                <c:pt idx="13">
                  <c:v>4KB</c:v>
                </c:pt>
                <c:pt idx="14">
                  <c:v>8KB</c:v>
                </c:pt>
                <c:pt idx="15">
                  <c:v>16KB</c:v>
                </c:pt>
                <c:pt idx="16">
                  <c:v>32KB</c:v>
                </c:pt>
                <c:pt idx="17">
                  <c:v>64KB</c:v>
                </c:pt>
                <c:pt idx="18">
                  <c:v>128KB</c:v>
                </c:pt>
                <c:pt idx="19">
                  <c:v>256KB</c:v>
                </c:pt>
                <c:pt idx="20">
                  <c:v>512KB</c:v>
                </c:pt>
                <c:pt idx="21">
                  <c:v>1MB</c:v>
                </c:pt>
                <c:pt idx="22">
                  <c:v>2MB</c:v>
                </c:pt>
                <c:pt idx="23">
                  <c:v>4MB</c:v>
                </c:pt>
              </c:strCache>
            </c:strRef>
          </c:cat>
          <c:val>
            <c:numRef>
              <c:f>Bandwidth!$C$27:$C$50</c:f>
              <c:numCache>
                <c:formatCode>General</c:formatCode>
                <c:ptCount val="24"/>
                <c:pt idx="1">
                  <c:v>8.0000000000000007E-5</c:v>
                </c:pt>
                <c:pt idx="2">
                  <c:v>1.6000000000000001E-4</c:v>
                </c:pt>
                <c:pt idx="3">
                  <c:v>4.0000000000000002E-4</c:v>
                </c:pt>
                <c:pt idx="4">
                  <c:v>8.0000000000000004E-4</c:v>
                </c:pt>
                <c:pt idx="5">
                  <c:v>1.5200000000000001E-3</c:v>
                </c:pt>
                <c:pt idx="6">
                  <c:v>3.0400000000000002E-3</c:v>
                </c:pt>
                <c:pt idx="7">
                  <c:v>6.0800000000000003E-3</c:v>
                </c:pt>
                <c:pt idx="8">
                  <c:v>1.2240000000000001E-2</c:v>
                </c:pt>
                <c:pt idx="9">
                  <c:v>2.4E-2</c:v>
                </c:pt>
                <c:pt idx="10">
                  <c:v>4.7439999999999996E-2</c:v>
                </c:pt>
                <c:pt idx="11">
                  <c:v>9.4E-2</c:v>
                </c:pt>
                <c:pt idx="12">
                  <c:v>0.18175999999999998</c:v>
                </c:pt>
                <c:pt idx="13">
                  <c:v>0.35599999999999998</c:v>
                </c:pt>
                <c:pt idx="14">
                  <c:v>0.58199999999999996</c:v>
                </c:pt>
                <c:pt idx="15">
                  <c:v>1.1584000000000001</c:v>
                </c:pt>
                <c:pt idx="16">
                  <c:v>1.4432</c:v>
                </c:pt>
                <c:pt idx="17">
                  <c:v>1.3804000000000001</c:v>
                </c:pt>
                <c:pt idx="18">
                  <c:v>2.2639200000000002</c:v>
                </c:pt>
                <c:pt idx="19">
                  <c:v>3.3448000000000002</c:v>
                </c:pt>
                <c:pt idx="20">
                  <c:v>4.3263999999999996</c:v>
                </c:pt>
                <c:pt idx="21">
                  <c:v>5.0889600000000002</c:v>
                </c:pt>
                <c:pt idx="22">
                  <c:v>5.3572799999999994</c:v>
                </c:pt>
                <c:pt idx="23">
                  <c:v>4.8671999999999995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3-0848-BA4E-138E2C5F6AD4}"/>
            </c:ext>
          </c:extLst>
        </c:ser>
        <c:ser>
          <c:idx val="0"/>
          <c:order val="3"/>
          <c:tx>
            <c:strRef>
              <c:f>Bandwidth!$B$1</c:f>
              <c:strCache>
                <c:ptCount val="1"/>
                <c:pt idx="0">
                  <c:v>TEE + Enc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Bandwidth!$A$27:$A$50</c:f>
              <c:strCache>
                <c:ptCount val="24"/>
                <c:pt idx="1">
                  <c:v>1B</c:v>
                </c:pt>
                <c:pt idx="2">
                  <c:v>2B</c:v>
                </c:pt>
                <c:pt idx="3">
                  <c:v>4B</c:v>
                </c:pt>
                <c:pt idx="4">
                  <c:v>8B</c:v>
                </c:pt>
                <c:pt idx="5">
                  <c:v>16B</c:v>
                </c:pt>
                <c:pt idx="6">
                  <c:v>32B</c:v>
                </c:pt>
                <c:pt idx="7">
                  <c:v>64B</c:v>
                </c:pt>
                <c:pt idx="8">
                  <c:v>128B</c:v>
                </c:pt>
                <c:pt idx="9">
                  <c:v>256B</c:v>
                </c:pt>
                <c:pt idx="10">
                  <c:v>512B</c:v>
                </c:pt>
                <c:pt idx="11">
                  <c:v>1KB</c:v>
                </c:pt>
                <c:pt idx="12">
                  <c:v>2KB</c:v>
                </c:pt>
                <c:pt idx="13">
                  <c:v>4KB</c:v>
                </c:pt>
                <c:pt idx="14">
                  <c:v>8KB</c:v>
                </c:pt>
                <c:pt idx="15">
                  <c:v>16KB</c:v>
                </c:pt>
                <c:pt idx="16">
                  <c:v>32KB</c:v>
                </c:pt>
                <c:pt idx="17">
                  <c:v>64KB</c:v>
                </c:pt>
                <c:pt idx="18">
                  <c:v>128KB</c:v>
                </c:pt>
                <c:pt idx="19">
                  <c:v>256KB</c:v>
                </c:pt>
                <c:pt idx="20">
                  <c:v>512KB</c:v>
                </c:pt>
                <c:pt idx="21">
                  <c:v>1MB</c:v>
                </c:pt>
                <c:pt idx="22">
                  <c:v>2MB</c:v>
                </c:pt>
                <c:pt idx="23">
                  <c:v>4MB</c:v>
                </c:pt>
              </c:strCache>
            </c:strRef>
          </c:cat>
          <c:val>
            <c:numRef>
              <c:f>Bandwidth!$B$27:$B$50</c:f>
              <c:numCache>
                <c:formatCode>General</c:formatCode>
                <c:ptCount val="24"/>
                <c:pt idx="1">
                  <c:v>8.0000000000000007E-5</c:v>
                </c:pt>
                <c:pt idx="2">
                  <c:v>1.6000000000000001E-4</c:v>
                </c:pt>
                <c:pt idx="3">
                  <c:v>2.3999999999999998E-4</c:v>
                </c:pt>
                <c:pt idx="4">
                  <c:v>4.7999999999999996E-4</c:v>
                </c:pt>
                <c:pt idx="5">
                  <c:v>9.5999999999999992E-4</c:v>
                </c:pt>
                <c:pt idx="6">
                  <c:v>1.8400000000000001E-3</c:v>
                </c:pt>
                <c:pt idx="7">
                  <c:v>3.8399999999999997E-3</c:v>
                </c:pt>
                <c:pt idx="8">
                  <c:v>7.7599999999999995E-3</c:v>
                </c:pt>
                <c:pt idx="9">
                  <c:v>1.5359999999999999E-2</c:v>
                </c:pt>
                <c:pt idx="10">
                  <c:v>2.9440000000000001E-2</c:v>
                </c:pt>
                <c:pt idx="11">
                  <c:v>6.1120000000000001E-2</c:v>
                </c:pt>
                <c:pt idx="12">
                  <c:v>0.11736000000000001</c:v>
                </c:pt>
                <c:pt idx="13">
                  <c:v>0.20536000000000001</c:v>
                </c:pt>
                <c:pt idx="14">
                  <c:v>0.39895999999999998</c:v>
                </c:pt>
                <c:pt idx="15">
                  <c:v>0.86751999999999996</c:v>
                </c:pt>
                <c:pt idx="16">
                  <c:v>1.1232</c:v>
                </c:pt>
                <c:pt idx="17">
                  <c:v>1.19848</c:v>
                </c:pt>
                <c:pt idx="18">
                  <c:v>1.89272</c:v>
                </c:pt>
                <c:pt idx="19">
                  <c:v>2.7088000000000001</c:v>
                </c:pt>
                <c:pt idx="20">
                  <c:v>3.4599199999999999</c:v>
                </c:pt>
                <c:pt idx="21">
                  <c:v>3.9424800000000002</c:v>
                </c:pt>
                <c:pt idx="22">
                  <c:v>4.1127200000000004</c:v>
                </c:pt>
                <c:pt idx="23">
                  <c:v>3.7388000000000003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3-0848-BA4E-138E2C5F6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038960"/>
        <c:axId val="764040672"/>
      </c:lineChart>
      <c:catAx>
        <c:axId val="76403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4040672"/>
        <c:crosses val="autoZero"/>
        <c:auto val="1"/>
        <c:lblAlgn val="ctr"/>
        <c:lblOffset val="100"/>
        <c:noMultiLvlLbl val="0"/>
      </c:catAx>
      <c:valAx>
        <c:axId val="7640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 b="1" i="0" u="none" strike="noStrike" kern="1200" baseline="0">
                    <a:solidFill>
                      <a:sysClr val="windowText" lastClr="000000"/>
                    </a:solidFill>
                  </a:rPr>
                  <a:t>Bandwidth [Gbps]</a:t>
                </a:r>
                <a:endParaRPr lang="ja-JP" altLang="ja-JP" sz="20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40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73028124448871"/>
          <c:y val="5.383401369839616E-2"/>
          <c:w val="0.2722222222222222"/>
          <c:h val="0.32987292260918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3213100</xdr:colOff>
      <xdr:row>9</xdr:row>
      <xdr:rowOff>63500</xdr:rowOff>
    </xdr:from>
    <xdr:to>
      <xdr:col>3</xdr:col>
      <xdr:colOff>2540000</xdr:colOff>
      <xdr:row>24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0784DD-73F3-8D43-8E65-0D89CE231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1270000</xdr:colOff>
      <xdr:row>7</xdr:row>
      <xdr:rowOff>190500</xdr:rowOff>
    </xdr:from>
    <xdr:to>
      <xdr:col>4</xdr:col>
      <xdr:colOff>889000</xdr:colOff>
      <xdr:row>26</xdr:row>
      <xdr:rowOff>247650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6D1441C-E00D-C5AC-AD45-E652CFBDB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3340100</xdr:colOff>
      <xdr:row>35</xdr:row>
      <xdr:rowOff>139700</xdr:rowOff>
    </xdr:from>
    <xdr:to>
      <xdr:col>5</xdr:col>
      <xdr:colOff>114300</xdr:colOff>
      <xdr:row>58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A6B0D9C-2585-72F7-65B8-7995A0A75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5EA6-E738-CA44-BC46-C16281E601EF}">
  <dimension ref="A1:E21"/>
  <sheetViews>
    <sheetView tabSelected="1" workbookViewId="0">
      <selection activeCell="A12" sqref="A12:A17"/>
    </sheetView>
  </sheetViews>
  <sheetFormatPr baseColWidth="10" defaultRowHeight="20"/>
  <cols>
    <col min="2" max="2" width="40.85546875" customWidth="1"/>
    <col min="3" max="4" width="43.85546875" customWidth="1"/>
    <col min="5" max="5" width="46.140625" customWidth="1"/>
  </cols>
  <sheetData>
    <row r="1" spans="1:5">
      <c r="B1" t="s">
        <v>33</v>
      </c>
      <c r="C1" t="s">
        <v>32</v>
      </c>
      <c r="D1" t="s">
        <v>31</v>
      </c>
      <c r="E1" t="s">
        <v>30</v>
      </c>
    </row>
    <row r="2" spans="1:5">
      <c r="A2" t="s">
        <v>29</v>
      </c>
      <c r="B2" t="s">
        <v>28</v>
      </c>
      <c r="C2" t="s">
        <v>27</v>
      </c>
      <c r="D2" t="s">
        <v>26</v>
      </c>
      <c r="E2" t="s">
        <v>25</v>
      </c>
    </row>
    <row r="3" spans="1:5">
      <c r="A3" t="s">
        <v>24</v>
      </c>
      <c r="B3" t="s">
        <v>23</v>
      </c>
      <c r="C3" t="s">
        <v>22</v>
      </c>
      <c r="D3" t="s">
        <v>21</v>
      </c>
      <c r="E3" t="s">
        <v>20</v>
      </c>
    </row>
    <row r="4" spans="1:5">
      <c r="A4" t="s">
        <v>19</v>
      </c>
      <c r="B4" t="s">
        <v>18</v>
      </c>
      <c r="C4" t="s">
        <v>17</v>
      </c>
      <c r="D4" t="s">
        <v>16</v>
      </c>
      <c r="E4" t="s">
        <v>15</v>
      </c>
    </row>
    <row r="5" spans="1:5">
      <c r="A5" t="s">
        <v>14</v>
      </c>
      <c r="B5" t="s">
        <v>13</v>
      </c>
      <c r="C5" t="s">
        <v>12</v>
      </c>
      <c r="D5" t="s">
        <v>11</v>
      </c>
      <c r="E5" t="s">
        <v>10</v>
      </c>
    </row>
    <row r="6" spans="1:5">
      <c r="A6" t="s">
        <v>9</v>
      </c>
      <c r="B6" t="s">
        <v>8</v>
      </c>
      <c r="C6" t="s">
        <v>7</v>
      </c>
      <c r="D6" t="s">
        <v>6</v>
      </c>
      <c r="E6" t="s">
        <v>5</v>
      </c>
    </row>
    <row r="7" spans="1:5">
      <c r="A7" t="s">
        <v>4</v>
      </c>
      <c r="B7" t="s">
        <v>3</v>
      </c>
      <c r="C7" t="s">
        <v>2</v>
      </c>
      <c r="D7" t="s">
        <v>1</v>
      </c>
      <c r="E7" t="s">
        <v>0</v>
      </c>
    </row>
    <row r="12" spans="1:5">
      <c r="A12">
        <v>10</v>
      </c>
      <c r="B12">
        <f t="shared" ref="B12:E21" si="0">VALUE(_xlfn.TEXTBEFORE(TRIM(_xlfn.TEXTAFTER(B2,"=")),"("))</f>
        <v>5418.2273999999998</v>
      </c>
      <c r="C12">
        <f t="shared" si="0"/>
        <v>4991.1394</v>
      </c>
      <c r="D12">
        <f t="shared" si="0"/>
        <v>594.53195000000005</v>
      </c>
      <c r="E12">
        <f t="shared" si="0"/>
        <v>482.13216999999997</v>
      </c>
    </row>
    <row r="13" spans="1:5">
      <c r="A13">
        <v>20</v>
      </c>
      <c r="B13">
        <f t="shared" si="0"/>
        <v>21121.981</v>
      </c>
      <c r="C13">
        <f t="shared" si="0"/>
        <v>20420.144</v>
      </c>
      <c r="D13">
        <f t="shared" si="0"/>
        <v>4347.7960999999996</v>
      </c>
      <c r="E13">
        <f t="shared" si="0"/>
        <v>3220.1873000000001</v>
      </c>
    </row>
    <row r="14" spans="1:5">
      <c r="A14">
        <v>30</v>
      </c>
      <c r="B14">
        <f t="shared" si="0"/>
        <v>30642.467000000001</v>
      </c>
      <c r="C14">
        <f t="shared" si="0"/>
        <v>29674.716</v>
      </c>
      <c r="D14">
        <f t="shared" si="0"/>
        <v>11880.457</v>
      </c>
      <c r="E14">
        <f t="shared" si="0"/>
        <v>8538.6028000000006</v>
      </c>
    </row>
    <row r="15" spans="1:5">
      <c r="A15">
        <v>40</v>
      </c>
      <c r="B15">
        <f t="shared" si="0"/>
        <v>35584.966</v>
      </c>
      <c r="C15">
        <f t="shared" si="0"/>
        <v>34855.398999999998</v>
      </c>
      <c r="D15">
        <f t="shared" si="0"/>
        <v>21084.585999999999</v>
      </c>
      <c r="E15">
        <f t="shared" si="0"/>
        <v>13349.763999999999</v>
      </c>
    </row>
    <row r="16" spans="1:5">
      <c r="A16">
        <v>50</v>
      </c>
      <c r="B16">
        <f t="shared" si="0"/>
        <v>37600.175000000003</v>
      </c>
      <c r="C16">
        <f t="shared" si="0"/>
        <v>37267.324999999997</v>
      </c>
      <c r="D16">
        <f t="shared" si="0"/>
        <v>28797.251</v>
      </c>
      <c r="E16">
        <f t="shared" si="0"/>
        <v>19210.503000000001</v>
      </c>
    </row>
    <row r="17" spans="1:5">
      <c r="A17">
        <v>60</v>
      </c>
      <c r="B17">
        <f t="shared" si="0"/>
        <v>37387.337</v>
      </c>
      <c r="C17">
        <f t="shared" si="0"/>
        <v>36867.728000000003</v>
      </c>
      <c r="D17">
        <f t="shared" si="0"/>
        <v>33854.976000000002</v>
      </c>
      <c r="E17">
        <f t="shared" si="0"/>
        <v>20424.334999999999</v>
      </c>
    </row>
    <row r="18" spans="1:5">
      <c r="B18" t="e">
        <f t="shared" si="0"/>
        <v>#N/A</v>
      </c>
      <c r="C18" t="e">
        <f t="shared" si="0"/>
        <v>#N/A</v>
      </c>
      <c r="D18" t="e">
        <f t="shared" si="0"/>
        <v>#N/A</v>
      </c>
      <c r="E18" t="e">
        <f t="shared" si="0"/>
        <v>#N/A</v>
      </c>
    </row>
    <row r="19" spans="1:5">
      <c r="B19" t="e">
        <f t="shared" si="0"/>
        <v>#N/A</v>
      </c>
      <c r="C19" t="e">
        <f t="shared" si="0"/>
        <v>#N/A</v>
      </c>
      <c r="D19" t="e">
        <f t="shared" si="0"/>
        <v>#N/A</v>
      </c>
      <c r="E19" t="e">
        <f t="shared" si="0"/>
        <v>#N/A</v>
      </c>
    </row>
    <row r="20" spans="1:5">
      <c r="B20" t="e">
        <f t="shared" si="0"/>
        <v>#N/A</v>
      </c>
      <c r="C20" t="e">
        <f t="shared" si="0"/>
        <v>#N/A</v>
      </c>
      <c r="D20" t="e">
        <f t="shared" si="0"/>
        <v>#N/A</v>
      </c>
      <c r="E20" t="e">
        <f t="shared" si="0"/>
        <v>#N/A</v>
      </c>
    </row>
    <row r="21" spans="1:5">
      <c r="B21" t="e">
        <f t="shared" si="0"/>
        <v>#N/A</v>
      </c>
      <c r="C21" t="e">
        <f t="shared" si="0"/>
        <v>#N/A</v>
      </c>
      <c r="D21" t="e">
        <f t="shared" si="0"/>
        <v>#N/A</v>
      </c>
      <c r="E21" t="e">
        <f t="shared" si="0"/>
        <v>#N/A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6023-C6E4-2C48-A8ED-10A3BB6026E7}">
  <dimension ref="A2:E5"/>
  <sheetViews>
    <sheetView workbookViewId="0">
      <selection activeCell="G20" sqref="G20"/>
    </sheetView>
  </sheetViews>
  <sheetFormatPr baseColWidth="10" defaultRowHeight="20"/>
  <cols>
    <col min="2" max="2" width="43.28515625" customWidth="1"/>
    <col min="3" max="3" width="32" customWidth="1"/>
    <col min="4" max="4" width="28.7109375" customWidth="1"/>
    <col min="5" max="5" width="25.28515625" customWidth="1"/>
    <col min="6" max="6" width="10.7109375" customWidth="1"/>
  </cols>
  <sheetData>
    <row r="2" spans="1:5">
      <c r="B2" t="s">
        <v>38</v>
      </c>
      <c r="C2" t="s">
        <v>37</v>
      </c>
      <c r="D2" t="s">
        <v>36</v>
      </c>
      <c r="E2" t="s">
        <v>35</v>
      </c>
    </row>
    <row r="3" spans="1:5">
      <c r="B3" s="2" t="s">
        <v>40</v>
      </c>
      <c r="C3" s="2" t="s">
        <v>64</v>
      </c>
      <c r="D3" s="2" t="s">
        <v>88</v>
      </c>
      <c r="E3" s="2" t="s">
        <v>112</v>
      </c>
    </row>
    <row r="4" spans="1:5">
      <c r="B4">
        <v>15.31</v>
      </c>
      <c r="C4">
        <v>21.4</v>
      </c>
      <c r="D4">
        <v>84</v>
      </c>
      <c r="E4" s="1">
        <v>129.88</v>
      </c>
    </row>
    <row r="5" spans="1:5">
      <c r="A5" t="s">
        <v>148</v>
      </c>
      <c r="B5">
        <f>B4/2</f>
        <v>7.6550000000000002</v>
      </c>
      <c r="C5">
        <f>C4/2</f>
        <v>10.7</v>
      </c>
      <c r="D5">
        <f>D4/2</f>
        <v>42</v>
      </c>
      <c r="E5">
        <f>E4/2</f>
        <v>64.94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9253-5B1C-C54D-9CD7-782011337C3F}">
  <dimension ref="A1:I50"/>
  <sheetViews>
    <sheetView topLeftCell="C28" workbookViewId="0">
      <selection activeCell="A27" sqref="A27:E27"/>
    </sheetView>
  </sheetViews>
  <sheetFormatPr baseColWidth="10" defaultRowHeight="20"/>
  <cols>
    <col min="2" max="2" width="47" customWidth="1"/>
    <col min="3" max="3" width="41.7109375" customWidth="1"/>
    <col min="4" max="4" width="54.140625" customWidth="1"/>
    <col min="5" max="5" width="48.85546875" customWidth="1"/>
    <col min="6" max="6" width="25.7109375" customWidth="1"/>
  </cols>
  <sheetData>
    <row r="1" spans="2:9">
      <c r="B1" t="s">
        <v>35</v>
      </c>
      <c r="C1" t="s">
        <v>36</v>
      </c>
      <c r="D1" t="s">
        <v>37</v>
      </c>
      <c r="E1" t="s">
        <v>38</v>
      </c>
    </row>
    <row r="2" spans="2:9">
      <c r="B2" t="s">
        <v>34</v>
      </c>
      <c r="C2" t="s">
        <v>34</v>
      </c>
      <c r="D2" t="s">
        <v>34</v>
      </c>
      <c r="E2" t="s">
        <v>34</v>
      </c>
    </row>
    <row r="3" spans="2:9">
      <c r="B3" s="2" t="s">
        <v>111</v>
      </c>
      <c r="C3" s="2" t="s">
        <v>87</v>
      </c>
      <c r="D3" s="2" t="s">
        <v>63</v>
      </c>
      <c r="E3" s="2" t="s">
        <v>39</v>
      </c>
      <c r="F3" s="1"/>
      <c r="G3" s="1"/>
      <c r="H3" s="1"/>
      <c r="I3" s="1"/>
    </row>
    <row r="4" spans="2:9">
      <c r="B4" s="2" t="s">
        <v>112</v>
      </c>
      <c r="C4" s="2" t="s">
        <v>88</v>
      </c>
      <c r="D4" s="2" t="s">
        <v>64</v>
      </c>
      <c r="E4" s="2" t="s">
        <v>40</v>
      </c>
      <c r="F4" s="1"/>
      <c r="G4" s="1"/>
      <c r="H4" s="1"/>
      <c r="I4" s="1"/>
    </row>
    <row r="5" spans="2:9">
      <c r="B5" s="2" t="s">
        <v>113</v>
      </c>
      <c r="C5" s="2" t="s">
        <v>89</v>
      </c>
      <c r="D5" s="2" t="s">
        <v>65</v>
      </c>
      <c r="E5" s="2" t="s">
        <v>41</v>
      </c>
      <c r="F5" s="1"/>
      <c r="G5" s="1"/>
      <c r="H5" s="1"/>
      <c r="I5" s="1"/>
    </row>
    <row r="6" spans="2:9">
      <c r="B6" s="2" t="s">
        <v>114</v>
      </c>
      <c r="C6" s="2" t="s">
        <v>90</v>
      </c>
      <c r="D6" s="2" t="s">
        <v>66</v>
      </c>
      <c r="E6" s="2" t="s">
        <v>42</v>
      </c>
      <c r="F6" s="1"/>
      <c r="G6" s="1"/>
      <c r="H6" s="1"/>
      <c r="I6" s="1"/>
    </row>
    <row r="7" spans="2:9">
      <c r="B7" s="2" t="s">
        <v>115</v>
      </c>
      <c r="C7" s="2" t="s">
        <v>91</v>
      </c>
      <c r="D7" s="2" t="s">
        <v>67</v>
      </c>
      <c r="E7" s="2" t="s">
        <v>43</v>
      </c>
      <c r="F7" s="1"/>
      <c r="G7" s="1"/>
      <c r="H7" s="1"/>
      <c r="I7" s="1"/>
    </row>
    <row r="8" spans="2:9">
      <c r="B8" s="2" t="s">
        <v>116</v>
      </c>
      <c r="C8" s="2" t="s">
        <v>92</v>
      </c>
      <c r="D8" s="2" t="s">
        <v>68</v>
      </c>
      <c r="E8" s="2" t="s">
        <v>44</v>
      </c>
      <c r="F8" s="1"/>
      <c r="G8" s="1"/>
      <c r="H8" s="1"/>
      <c r="I8" s="1"/>
    </row>
    <row r="9" spans="2:9">
      <c r="B9" s="2" t="s">
        <v>117</v>
      </c>
      <c r="C9" s="2" t="s">
        <v>93</v>
      </c>
      <c r="D9" s="2" t="s">
        <v>69</v>
      </c>
      <c r="E9" s="2" t="s">
        <v>45</v>
      </c>
      <c r="F9" s="1"/>
      <c r="G9" s="1"/>
      <c r="H9" s="1"/>
      <c r="I9" s="1"/>
    </row>
    <row r="10" spans="2:9">
      <c r="B10" s="2" t="s">
        <v>118</v>
      </c>
      <c r="C10" s="2" t="s">
        <v>94</v>
      </c>
      <c r="D10" s="2" t="s">
        <v>70</v>
      </c>
      <c r="E10" s="2" t="s">
        <v>46</v>
      </c>
      <c r="F10" s="1"/>
      <c r="G10" s="1"/>
      <c r="H10" s="1"/>
      <c r="I10" s="1"/>
    </row>
    <row r="11" spans="2:9">
      <c r="B11" s="2" t="s">
        <v>119</v>
      </c>
      <c r="C11" s="2" t="s">
        <v>95</v>
      </c>
      <c r="D11" s="2" t="s">
        <v>71</v>
      </c>
      <c r="E11" s="2" t="s">
        <v>47</v>
      </c>
      <c r="F11" s="1"/>
      <c r="G11" s="1"/>
      <c r="H11" s="1"/>
      <c r="I11" s="1"/>
    </row>
    <row r="12" spans="2:9">
      <c r="B12" s="2" t="s">
        <v>120</v>
      </c>
      <c r="C12" s="2" t="s">
        <v>96</v>
      </c>
      <c r="D12" s="2" t="s">
        <v>72</v>
      </c>
      <c r="E12" s="2" t="s">
        <v>48</v>
      </c>
      <c r="F12" s="1"/>
      <c r="G12" s="1"/>
      <c r="H12" s="1"/>
      <c r="I12" s="1"/>
    </row>
    <row r="13" spans="2:9">
      <c r="B13" s="2" t="s">
        <v>121</v>
      </c>
      <c r="C13" s="2" t="s">
        <v>97</v>
      </c>
      <c r="D13" s="2" t="s">
        <v>73</v>
      </c>
      <c r="E13" s="2" t="s">
        <v>49</v>
      </c>
      <c r="F13" s="1"/>
      <c r="G13" s="1"/>
      <c r="H13" s="1"/>
      <c r="I13" s="1"/>
    </row>
    <row r="14" spans="2:9">
      <c r="B14" s="2" t="s">
        <v>122</v>
      </c>
      <c r="C14" s="2" t="s">
        <v>98</v>
      </c>
      <c r="D14" s="2" t="s">
        <v>74</v>
      </c>
      <c r="E14" s="2" t="s">
        <v>50</v>
      </c>
      <c r="F14" s="1"/>
      <c r="G14" s="1"/>
      <c r="H14" s="1"/>
      <c r="I14" s="1"/>
    </row>
    <row r="15" spans="2:9">
      <c r="B15" s="2" t="s">
        <v>123</v>
      </c>
      <c r="C15" s="2" t="s">
        <v>99</v>
      </c>
      <c r="D15" s="2" t="s">
        <v>75</v>
      </c>
      <c r="E15" s="2" t="s">
        <v>51</v>
      </c>
      <c r="F15" s="1"/>
      <c r="G15" s="1"/>
      <c r="H15" s="1"/>
      <c r="I15" s="1"/>
    </row>
    <row r="16" spans="2:9">
      <c r="B16" s="2" t="s">
        <v>124</v>
      </c>
      <c r="C16" s="2" t="s">
        <v>100</v>
      </c>
      <c r="D16" s="2" t="s">
        <v>76</v>
      </c>
      <c r="E16" s="2" t="s">
        <v>52</v>
      </c>
      <c r="F16" s="1"/>
      <c r="G16" s="1"/>
      <c r="H16" s="1"/>
      <c r="I16" s="1"/>
    </row>
    <row r="17" spans="1:9">
      <c r="B17" s="2" t="s">
        <v>125</v>
      </c>
      <c r="C17" s="2" t="s">
        <v>101</v>
      </c>
      <c r="D17" s="2" t="s">
        <v>77</v>
      </c>
      <c r="E17" s="2" t="s">
        <v>53</v>
      </c>
      <c r="F17" s="1"/>
      <c r="G17" s="1"/>
      <c r="H17" s="1"/>
      <c r="I17" s="1"/>
    </row>
    <row r="18" spans="1:9">
      <c r="B18" s="2" t="s">
        <v>126</v>
      </c>
      <c r="C18" s="2" t="s">
        <v>102</v>
      </c>
      <c r="D18" s="2" t="s">
        <v>78</v>
      </c>
      <c r="E18" s="2" t="s">
        <v>54</v>
      </c>
      <c r="F18" s="1"/>
      <c r="G18" s="1"/>
      <c r="H18" s="1"/>
      <c r="I18" s="1"/>
    </row>
    <row r="19" spans="1:9">
      <c r="B19" s="2" t="s">
        <v>127</v>
      </c>
      <c r="C19" s="2" t="s">
        <v>103</v>
      </c>
      <c r="D19" s="2" t="s">
        <v>79</v>
      </c>
      <c r="E19" s="2" t="s">
        <v>55</v>
      </c>
      <c r="F19" s="1"/>
      <c r="G19" s="1"/>
      <c r="H19" s="1"/>
      <c r="I19" s="1"/>
    </row>
    <row r="20" spans="1:9">
      <c r="B20" s="2" t="s">
        <v>128</v>
      </c>
      <c r="C20" s="2" t="s">
        <v>104</v>
      </c>
      <c r="D20" s="2" t="s">
        <v>80</v>
      </c>
      <c r="E20" s="2" t="s">
        <v>56</v>
      </c>
      <c r="F20" s="1"/>
      <c r="G20" s="1"/>
      <c r="H20" s="1"/>
      <c r="I20" s="1"/>
    </row>
    <row r="21" spans="1:9">
      <c r="B21" s="2" t="s">
        <v>129</v>
      </c>
      <c r="C21" s="2" t="s">
        <v>105</v>
      </c>
      <c r="D21" s="2" t="s">
        <v>81</v>
      </c>
      <c r="E21" s="2" t="s">
        <v>57</v>
      </c>
      <c r="F21" s="1"/>
      <c r="G21" s="1"/>
      <c r="H21" s="1"/>
      <c r="I21" s="1"/>
    </row>
    <row r="22" spans="1:9">
      <c r="B22" s="2" t="s">
        <v>130</v>
      </c>
      <c r="C22" s="2" t="s">
        <v>106</v>
      </c>
      <c r="D22" s="2" t="s">
        <v>82</v>
      </c>
      <c r="E22" s="2" t="s">
        <v>58</v>
      </c>
      <c r="F22" s="1"/>
      <c r="G22" s="1"/>
      <c r="H22" s="1"/>
      <c r="I22" s="1"/>
    </row>
    <row r="23" spans="1:9">
      <c r="B23" s="2" t="s">
        <v>131</v>
      </c>
      <c r="C23" s="2" t="s">
        <v>107</v>
      </c>
      <c r="D23" s="2" t="s">
        <v>83</v>
      </c>
      <c r="E23" s="2" t="s">
        <v>59</v>
      </c>
      <c r="F23" s="1"/>
      <c r="G23" s="1"/>
      <c r="H23" s="1"/>
      <c r="I23" s="1"/>
    </row>
    <row r="24" spans="1:9">
      <c r="B24" s="2" t="s">
        <v>132</v>
      </c>
      <c r="C24" s="2" t="s">
        <v>108</v>
      </c>
      <c r="D24" s="2" t="s">
        <v>84</v>
      </c>
      <c r="E24" s="2" t="s">
        <v>60</v>
      </c>
      <c r="F24" s="1"/>
      <c r="G24" s="1"/>
      <c r="H24" s="1"/>
      <c r="I24" s="1"/>
    </row>
    <row r="25" spans="1:9">
      <c r="B25" s="2" t="s">
        <v>133</v>
      </c>
      <c r="C25" s="2" t="s">
        <v>109</v>
      </c>
      <c r="D25" s="2" t="s">
        <v>85</v>
      </c>
      <c r="E25" s="2" t="s">
        <v>61</v>
      </c>
      <c r="F25" s="1"/>
      <c r="G25" s="1"/>
      <c r="H25" s="1"/>
      <c r="I25" s="1"/>
    </row>
    <row r="26" spans="1:9">
      <c r="B26" s="2" t="s">
        <v>134</v>
      </c>
      <c r="C26" s="2" t="s">
        <v>110</v>
      </c>
      <c r="D26" s="2" t="s">
        <v>86</v>
      </c>
      <c r="E26" s="2" t="s">
        <v>62</v>
      </c>
    </row>
    <row r="28" spans="1:9">
      <c r="A28" t="s">
        <v>149</v>
      </c>
      <c r="B28">
        <f t="shared" ref="B28:E28" si="0">VALUE(TRIM(_xlfn.TEXTAFTER(B4," ",-1)))*8/1000</f>
        <v>8.0000000000000007E-5</v>
      </c>
      <c r="C28">
        <f t="shared" si="0"/>
        <v>8.0000000000000007E-5</v>
      </c>
      <c r="D28">
        <f t="shared" si="0"/>
        <v>4.0000000000000002E-4</v>
      </c>
      <c r="E28">
        <f t="shared" si="0"/>
        <v>5.6000000000000006E-4</v>
      </c>
    </row>
    <row r="29" spans="1:9">
      <c r="A29" t="s">
        <v>150</v>
      </c>
      <c r="B29">
        <f t="shared" ref="B29:E29" si="1">VALUE(TRIM(_xlfn.TEXTAFTER(B5," ",-1)))*8/1000</f>
        <v>1.6000000000000001E-4</v>
      </c>
      <c r="C29">
        <f t="shared" si="1"/>
        <v>1.6000000000000001E-4</v>
      </c>
      <c r="D29">
        <f t="shared" si="1"/>
        <v>7.1999999999999994E-4</v>
      </c>
      <c r="E29">
        <f t="shared" si="1"/>
        <v>1.0400000000000001E-3</v>
      </c>
    </row>
    <row r="30" spans="1:9">
      <c r="A30" t="s">
        <v>151</v>
      </c>
      <c r="B30">
        <f t="shared" ref="B30:E30" si="2">VALUE(TRIM(_xlfn.TEXTAFTER(B6," ",-1)))*8/1000</f>
        <v>2.3999999999999998E-4</v>
      </c>
      <c r="C30">
        <f t="shared" si="2"/>
        <v>4.0000000000000002E-4</v>
      </c>
      <c r="D30">
        <f t="shared" si="2"/>
        <v>1.5200000000000001E-3</v>
      </c>
      <c r="E30">
        <f t="shared" si="2"/>
        <v>2.0800000000000003E-3</v>
      </c>
    </row>
    <row r="31" spans="1:9">
      <c r="A31" t="s">
        <v>152</v>
      </c>
      <c r="B31">
        <f t="shared" ref="B31:E31" si="3">VALUE(TRIM(_xlfn.TEXTAFTER(B7," ",-1)))*8/1000</f>
        <v>4.7999999999999996E-4</v>
      </c>
      <c r="C31">
        <f t="shared" si="3"/>
        <v>8.0000000000000004E-4</v>
      </c>
      <c r="D31">
        <f t="shared" si="3"/>
        <v>2.96E-3</v>
      </c>
      <c r="E31">
        <f t="shared" si="3"/>
        <v>4.1600000000000005E-3</v>
      </c>
    </row>
    <row r="32" spans="1:9">
      <c r="A32" t="s">
        <v>153</v>
      </c>
      <c r="B32">
        <f t="shared" ref="B32:E32" si="4">VALUE(TRIM(_xlfn.TEXTAFTER(B8," ",-1)))*8/1000</f>
        <v>9.5999999999999992E-4</v>
      </c>
      <c r="C32">
        <f t="shared" si="4"/>
        <v>1.5200000000000001E-3</v>
      </c>
      <c r="D32">
        <f t="shared" si="4"/>
        <v>5.9199999999999999E-3</v>
      </c>
      <c r="E32">
        <f t="shared" si="4"/>
        <v>8.320000000000001E-3</v>
      </c>
    </row>
    <row r="33" spans="1:5">
      <c r="A33" t="s">
        <v>154</v>
      </c>
      <c r="B33">
        <f t="shared" ref="B33:E33" si="5">VALUE(TRIM(_xlfn.TEXTAFTER(B9," ",-1)))*8/1000</f>
        <v>1.8400000000000001E-3</v>
      </c>
      <c r="C33">
        <f t="shared" si="5"/>
        <v>3.0400000000000002E-3</v>
      </c>
      <c r="D33">
        <f t="shared" si="5"/>
        <v>1.1679999999999999E-2</v>
      </c>
      <c r="E33">
        <f t="shared" si="5"/>
        <v>1.6480000000000002E-2</v>
      </c>
    </row>
    <row r="34" spans="1:5">
      <c r="A34" t="s">
        <v>155</v>
      </c>
      <c r="B34">
        <f t="shared" ref="B34:E34" si="6">VALUE(TRIM(_xlfn.TEXTAFTER(B10," ",-1)))*8/1000</f>
        <v>3.8399999999999997E-3</v>
      </c>
      <c r="C34">
        <f t="shared" si="6"/>
        <v>6.0800000000000003E-3</v>
      </c>
      <c r="D34">
        <f t="shared" si="6"/>
        <v>2.3359999999999999E-2</v>
      </c>
      <c r="E34">
        <f t="shared" si="6"/>
        <v>3.288E-2</v>
      </c>
    </row>
    <row r="35" spans="1:5">
      <c r="A35" t="s">
        <v>156</v>
      </c>
      <c r="B35">
        <f t="shared" ref="B35:E35" si="7">VALUE(TRIM(_xlfn.TEXTAFTER(B11," ",-1)))*8/1000</f>
        <v>7.7599999999999995E-3</v>
      </c>
      <c r="C35">
        <f t="shared" si="7"/>
        <v>1.2240000000000001E-2</v>
      </c>
      <c r="D35">
        <f t="shared" si="7"/>
        <v>4.616E-2</v>
      </c>
      <c r="E35">
        <f t="shared" si="7"/>
        <v>6.5200000000000008E-2</v>
      </c>
    </row>
    <row r="36" spans="1:5">
      <c r="A36" t="s">
        <v>157</v>
      </c>
      <c r="B36">
        <f t="shared" ref="B36:E36" si="8">VALUE(TRIM(_xlfn.TEXTAFTER(B12," ",-1)))*8/1000</f>
        <v>1.5359999999999999E-2</v>
      </c>
      <c r="C36">
        <f t="shared" si="8"/>
        <v>2.4E-2</v>
      </c>
      <c r="D36">
        <f t="shared" si="8"/>
        <v>8.6639999999999995E-2</v>
      </c>
      <c r="E36">
        <f t="shared" si="8"/>
        <v>0.11984</v>
      </c>
    </row>
    <row r="37" spans="1:5">
      <c r="A37" t="s">
        <v>158</v>
      </c>
      <c r="B37">
        <f t="shared" ref="B37:E37" si="9">VALUE(TRIM(_xlfn.TEXTAFTER(B13," ",-1)))*8/1000</f>
        <v>2.9440000000000001E-2</v>
      </c>
      <c r="C37">
        <f t="shared" si="9"/>
        <v>4.7439999999999996E-2</v>
      </c>
      <c r="D37">
        <f t="shared" si="9"/>
        <v>0.16784000000000002</v>
      </c>
      <c r="E37">
        <f t="shared" si="9"/>
        <v>0.23288</v>
      </c>
    </row>
    <row r="38" spans="1:5">
      <c r="A38" t="s">
        <v>135</v>
      </c>
      <c r="B38">
        <f t="shared" ref="B38:E38" si="10">VALUE(TRIM(_xlfn.TEXTAFTER(B14," ",-1)))*8/1000</f>
        <v>6.1120000000000001E-2</v>
      </c>
      <c r="C38">
        <f t="shared" si="10"/>
        <v>9.4E-2</v>
      </c>
      <c r="D38">
        <f t="shared" si="10"/>
        <v>0.31983999999999996</v>
      </c>
      <c r="E38">
        <f t="shared" si="10"/>
        <v>0.44192000000000004</v>
      </c>
    </row>
    <row r="39" spans="1:5">
      <c r="A39" t="s">
        <v>136</v>
      </c>
      <c r="B39">
        <f t="shared" ref="B39:E39" si="11">VALUE(TRIM(_xlfn.TEXTAFTER(B15," ",-1)))*8/1000</f>
        <v>0.11736000000000001</v>
      </c>
      <c r="C39">
        <f t="shared" si="11"/>
        <v>0.18175999999999998</v>
      </c>
      <c r="D39">
        <f t="shared" si="11"/>
        <v>0.41768</v>
      </c>
      <c r="E39">
        <f t="shared" si="11"/>
        <v>0.53151999999999999</v>
      </c>
    </row>
    <row r="40" spans="1:5">
      <c r="A40" t="s">
        <v>137</v>
      </c>
      <c r="B40">
        <f t="shared" ref="B40:E40" si="12">VALUE(TRIM(_xlfn.TEXTAFTER(B16," ",-1)))*8/1000</f>
        <v>0.20536000000000001</v>
      </c>
      <c r="C40">
        <f t="shared" si="12"/>
        <v>0.35599999999999998</v>
      </c>
      <c r="D40">
        <f t="shared" si="12"/>
        <v>0.80959999999999999</v>
      </c>
      <c r="E40">
        <f t="shared" si="12"/>
        <v>0.99679999999999991</v>
      </c>
    </row>
    <row r="41" spans="1:5">
      <c r="A41" t="s">
        <v>138</v>
      </c>
      <c r="B41">
        <f t="shared" ref="B41:E41" si="13">VALUE(TRIM(_xlfn.TEXTAFTER(B17," ",-1)))*8/1000</f>
        <v>0.39895999999999998</v>
      </c>
      <c r="C41">
        <f t="shared" si="13"/>
        <v>0.58199999999999996</v>
      </c>
      <c r="D41">
        <f t="shared" si="13"/>
        <v>1.292</v>
      </c>
      <c r="E41">
        <f t="shared" si="13"/>
        <v>1.7194400000000001</v>
      </c>
    </row>
    <row r="42" spans="1:5">
      <c r="A42" t="s">
        <v>139</v>
      </c>
      <c r="B42">
        <f t="shared" ref="B42:E42" si="14">VALUE(TRIM(_xlfn.TEXTAFTER(B18," ",-1)))*8/1000</f>
        <v>0.86751999999999996</v>
      </c>
      <c r="C42">
        <f t="shared" si="14"/>
        <v>1.1584000000000001</v>
      </c>
      <c r="D42">
        <f t="shared" si="14"/>
        <v>2.4539200000000001</v>
      </c>
      <c r="E42">
        <f t="shared" si="14"/>
        <v>3.35032</v>
      </c>
    </row>
    <row r="43" spans="1:5">
      <c r="A43" t="s">
        <v>140</v>
      </c>
      <c r="B43">
        <f t="shared" ref="B43:E43" si="15">VALUE(TRIM(_xlfn.TEXTAFTER(B19," ",-1)))*8/1000</f>
        <v>1.1232</v>
      </c>
      <c r="C43">
        <f t="shared" si="15"/>
        <v>1.4432</v>
      </c>
      <c r="D43">
        <f t="shared" si="15"/>
        <v>2.9843200000000003</v>
      </c>
      <c r="E43">
        <f t="shared" si="15"/>
        <v>4.0562399999999998</v>
      </c>
    </row>
    <row r="44" spans="1:5">
      <c r="A44" t="s">
        <v>141</v>
      </c>
      <c r="B44">
        <f t="shared" ref="B44:E44" si="16">VALUE(TRIM(_xlfn.TEXTAFTER(B20," ",-1)))*8/1000</f>
        <v>1.19848</v>
      </c>
      <c r="C44">
        <f t="shared" si="16"/>
        <v>1.3804000000000001</v>
      </c>
      <c r="D44">
        <f t="shared" si="16"/>
        <v>3.0175999999999998</v>
      </c>
      <c r="E44">
        <f t="shared" si="16"/>
        <v>3.7404000000000002</v>
      </c>
    </row>
    <row r="45" spans="1:5">
      <c r="A45" t="s">
        <v>142</v>
      </c>
      <c r="B45">
        <f t="shared" ref="B45:E45" si="17">VALUE(TRIM(_xlfn.TEXTAFTER(B21," ",-1)))*8/1000</f>
        <v>1.89272</v>
      </c>
      <c r="C45">
        <f t="shared" si="17"/>
        <v>2.2639200000000002</v>
      </c>
      <c r="D45">
        <f t="shared" si="17"/>
        <v>3.8279999999999998</v>
      </c>
      <c r="E45">
        <f t="shared" si="17"/>
        <v>5.2520800000000003</v>
      </c>
    </row>
    <row r="46" spans="1:5">
      <c r="A46" t="s">
        <v>143</v>
      </c>
      <c r="B46">
        <f t="shared" ref="B46:E46" si="18">VALUE(TRIM(_xlfn.TEXTAFTER(B22," ",-1)))*8/1000</f>
        <v>2.7088000000000001</v>
      </c>
      <c r="C46">
        <f t="shared" si="18"/>
        <v>3.3448000000000002</v>
      </c>
      <c r="D46">
        <f t="shared" si="18"/>
        <v>4.5519999999999996</v>
      </c>
      <c r="E46">
        <f t="shared" si="18"/>
        <v>6.6653599999999997</v>
      </c>
    </row>
    <row r="47" spans="1:5">
      <c r="A47" t="s">
        <v>144</v>
      </c>
      <c r="B47">
        <f t="shared" ref="B47:E47" si="19">VALUE(TRIM(_xlfn.TEXTAFTER(B23," ",-1)))*8/1000</f>
        <v>3.4599199999999999</v>
      </c>
      <c r="C47">
        <f t="shared" si="19"/>
        <v>4.3263999999999996</v>
      </c>
      <c r="D47">
        <f t="shared" si="19"/>
        <v>5.1591199999999997</v>
      </c>
      <c r="E47">
        <f t="shared" si="19"/>
        <v>7.6528799999999997</v>
      </c>
    </row>
    <row r="48" spans="1:5">
      <c r="A48" t="s">
        <v>145</v>
      </c>
      <c r="B48">
        <f t="shared" ref="B48:E48" si="20">VALUE(TRIM(_xlfn.TEXTAFTER(B24," ",-1)))*8/1000</f>
        <v>3.9424800000000002</v>
      </c>
      <c r="C48">
        <f t="shared" si="20"/>
        <v>5.0889600000000002</v>
      </c>
      <c r="D48">
        <f t="shared" si="20"/>
        <v>5.5376000000000003</v>
      </c>
      <c r="E48">
        <f t="shared" si="20"/>
        <v>8.3583999999999996</v>
      </c>
    </row>
    <row r="49" spans="1:5">
      <c r="A49" t="s">
        <v>146</v>
      </c>
      <c r="B49">
        <f t="shared" ref="B49:E49" si="21">VALUE(TRIM(_xlfn.TEXTAFTER(B25," ",-1)))*8/1000</f>
        <v>4.1127200000000004</v>
      </c>
      <c r="C49">
        <f t="shared" si="21"/>
        <v>5.3572799999999994</v>
      </c>
      <c r="D49">
        <f t="shared" si="21"/>
        <v>5.6311999999999998</v>
      </c>
      <c r="E49">
        <f t="shared" si="21"/>
        <v>8.7255200000000013</v>
      </c>
    </row>
    <row r="50" spans="1:5">
      <c r="A50" t="s">
        <v>147</v>
      </c>
      <c r="B50">
        <f t="shared" ref="B50:E50" si="22">VALUE(TRIM(_xlfn.TEXTAFTER(B26," ",-1)))*8/1000</f>
        <v>3.7388000000000003</v>
      </c>
      <c r="C50">
        <f t="shared" si="22"/>
        <v>4.8671999999999995</v>
      </c>
      <c r="D50">
        <f t="shared" si="22"/>
        <v>5.6352000000000002</v>
      </c>
      <c r="E50">
        <f t="shared" si="22"/>
        <v>8.8968799999999995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PS10~60</vt:lpstr>
      <vt:lpstr>Latecy</vt:lpstr>
      <vt:lpstr>Bandwidth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2025-12-12T03:37:25Z</dcterms:created>
  <dcterms:modified xsi:type="dcterms:W3CDTF">2025-12-15T07:41:00Z</dcterms:modified>
</cp:coreProperties>
</file>
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"/>
    </mc:Choice>
  </mc:AlternateContent>
  <xr:revisionPtr revIDLastSave="0" documentId="13_ncr:1_{956D3456-7F84-834B-A1E3-B1DA21E19B3F}" xr6:coauthVersionLast="47" xr6:coauthVersionMax="47" xr10:uidLastSave="{00000000-0000-0000-0000-000000000000}"/>
  <bookViews>
    <workbookView xWindow="0" yWindow="760" windowWidth="30240" windowHeight="17580" activeTab="1" xr2:uid="{38F3F6C3-4CC1-D94E-933C-82A30BAF22B3}"/>
  </bookViews>
  <sheets>
    <sheet name="LULESH-prepare" sheetId="3" r:id="rId1"/>
    <sheet name="LULESH" sheetId="1" r:id="rId2"/>
    <sheet name="PENNANT" sheetId="2" r:id="rId3"/>
    <sheet name="BigSort" sheetId="5" r:id="rId4"/>
    <sheet name="Nekbone" sheetId="7" r:id="rId5"/>
    <sheet name="Nekbone-comm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B43" i="1"/>
  <c r="E42" i="1"/>
  <c r="E41" i="1"/>
  <c r="D42" i="1"/>
  <c r="D41" i="1"/>
  <c r="C42" i="1"/>
  <c r="C41" i="1"/>
  <c r="B42" i="1"/>
  <c r="B41" i="1"/>
  <c r="E40" i="1"/>
  <c r="D40" i="1"/>
  <c r="C40" i="1"/>
  <c r="B40" i="1"/>
  <c r="E33" i="1"/>
  <c r="B33" i="1"/>
  <c r="B44" i="2"/>
  <c r="C38" i="2"/>
  <c r="D38" i="2"/>
  <c r="E38" i="2"/>
  <c r="B38" i="2"/>
  <c r="C43" i="2"/>
  <c r="B43" i="2"/>
  <c r="E42" i="2"/>
  <c r="D42" i="2"/>
  <c r="E43" i="2"/>
  <c r="D43" i="2"/>
  <c r="C42" i="2"/>
  <c r="B42" i="2"/>
  <c r="E41" i="2"/>
  <c r="D41" i="2"/>
  <c r="C41" i="2"/>
  <c r="B41" i="2"/>
  <c r="F15" i="4"/>
  <c r="F14" i="4"/>
  <c r="K15" i="4"/>
  <c r="L11" i="4"/>
  <c r="L12" i="4"/>
  <c r="L13" i="4"/>
  <c r="E16" i="4"/>
  <c r="B23" i="4"/>
  <c r="H22" i="4"/>
  <c r="B22" i="4"/>
  <c r="I14" i="4"/>
  <c r="H35" i="4"/>
  <c r="K14" i="4"/>
  <c r="J14" i="4"/>
  <c r="H14" i="4"/>
  <c r="C14" i="4"/>
  <c r="D14" i="4"/>
  <c r="E14" i="4"/>
  <c r="B14" i="4"/>
  <c r="E35" i="2"/>
  <c r="B35" i="2"/>
  <c r="E36" i="2"/>
  <c r="B36" i="2"/>
  <c r="G26" i="2"/>
  <c r="G16" i="2"/>
  <c r="G7" i="2"/>
  <c r="E32" i="2"/>
  <c r="E31" i="2"/>
  <c r="B32" i="2"/>
  <c r="B31" i="2"/>
  <c r="F16" i="2"/>
  <c r="F26" i="2"/>
  <c r="F7" i="2"/>
  <c r="E27" i="1"/>
  <c r="E26" i="1"/>
  <c r="B27" i="1"/>
  <c r="B26" i="1"/>
  <c r="F14" i="1"/>
  <c r="F6" i="1"/>
  <c r="F22" i="1"/>
  <c r="H11" i="1"/>
  <c r="H12" i="1"/>
  <c r="H13" i="1"/>
  <c r="H14" i="1"/>
  <c r="H15" i="1"/>
  <c r="H10" i="1"/>
  <c r="G11" i="1"/>
  <c r="G12" i="1"/>
  <c r="G13" i="1"/>
  <c r="G14" i="1"/>
  <c r="G15" i="1"/>
  <c r="G10" i="1"/>
  <c r="F11" i="1"/>
  <c r="F12" i="1"/>
  <c r="F13" i="1"/>
  <c r="F15" i="1"/>
  <c r="F10" i="1"/>
  <c r="C29" i="2"/>
  <c r="D29" i="2"/>
  <c r="E29" i="2"/>
  <c r="B29" i="2"/>
  <c r="E27" i="2"/>
  <c r="D27" i="2"/>
  <c r="C27" i="2"/>
  <c r="B27" i="2"/>
  <c r="E17" i="2"/>
  <c r="D17" i="2"/>
  <c r="C17" i="2"/>
  <c r="B17" i="2"/>
  <c r="D8" i="2"/>
  <c r="E8" i="2"/>
  <c r="E26" i="2"/>
  <c r="D26" i="2"/>
  <c r="C26" i="2"/>
  <c r="B26" i="2"/>
  <c r="E16" i="2"/>
  <c r="D16" i="2"/>
  <c r="C16" i="2"/>
  <c r="B16" i="2"/>
  <c r="C7" i="2"/>
  <c r="D7" i="2"/>
  <c r="E7" i="2"/>
  <c r="B7" i="2"/>
  <c r="B8" i="2" l="1"/>
  <c r="C8" i="2"/>
</calcChain>
</file>

<file path=xl/sharedStrings.xml><?xml version="1.0" encoding="utf-8"?>
<sst xmlns="http://schemas.openxmlformats.org/spreadsheetml/2006/main" count="141" uniqueCount="46">
  <si>
    <t>Native+Unenc (Baseline)</t>
    <phoneticPr fontId="1"/>
  </si>
  <si>
    <t>Native+Enc</t>
    <phoneticPr fontId="1"/>
  </si>
  <si>
    <t>TEE+Unenc</t>
    <phoneticPr fontId="1"/>
  </si>
  <si>
    <t>TEE+Enc (Proposal)</t>
    <phoneticPr fontId="1"/>
  </si>
  <si>
    <t>s=10</t>
    <phoneticPr fontId="1"/>
  </si>
  <si>
    <t>s=20</t>
    <phoneticPr fontId="1"/>
  </si>
  <si>
    <t>s=30</t>
  </si>
  <si>
    <t>s=40</t>
  </si>
  <si>
    <t>s=50</t>
  </si>
  <si>
    <t>s=60</t>
  </si>
  <si>
    <t>2node</t>
    <phoneticPr fontId="1"/>
  </si>
  <si>
    <t>4node</t>
    <phoneticPr fontId="1"/>
  </si>
  <si>
    <t>8node</t>
    <phoneticPr fontId="1"/>
  </si>
  <si>
    <t>1回目</t>
    <rPh sb="1" eb="3">
      <t>カイ</t>
    </rPh>
    <phoneticPr fontId="1"/>
  </si>
  <si>
    <t>2回目</t>
    <rPh sb="1" eb="3">
      <t>カイ</t>
    </rPh>
    <phoneticPr fontId="1"/>
  </si>
  <si>
    <t>3回目</t>
    <rPh sb="1" eb="3">
      <t>カイ</t>
    </rPh>
    <phoneticPr fontId="1"/>
  </si>
  <si>
    <t>4回目</t>
    <rPh sb="1" eb="3">
      <t>カイ</t>
    </rPh>
    <phoneticPr fontId="1"/>
  </si>
  <si>
    <t>5回目</t>
    <rPh sb="1" eb="3">
      <t>カイ</t>
    </rPh>
    <phoneticPr fontId="1"/>
  </si>
  <si>
    <t>avr</t>
    <phoneticPr fontId="1"/>
  </si>
  <si>
    <t>単位/s</t>
    <rPh sb="0" eb="2">
      <t xml:space="preserve">タンイ </t>
    </rPh>
    <phoneticPr fontId="1"/>
  </si>
  <si>
    <t>slowdown</t>
  </si>
  <si>
    <t>slowdown</t>
    <phoneticPr fontId="1"/>
  </si>
  <si>
    <t>pairwise1</t>
    <phoneticPr fontId="1"/>
  </si>
  <si>
    <t>crystal1</t>
    <phoneticPr fontId="1"/>
  </si>
  <si>
    <t>all reduce1</t>
    <phoneticPr fontId="1"/>
  </si>
  <si>
    <t>pairwise2</t>
  </si>
  <si>
    <t>pairwise3</t>
  </si>
  <si>
    <t>crystal2</t>
  </si>
  <si>
    <t>crystal3</t>
  </si>
  <si>
    <t>all reduce2</t>
  </si>
  <si>
    <t>all reduce3</t>
  </si>
  <si>
    <t>sum</t>
  </si>
  <si>
    <t>sum</t>
    <phoneticPr fontId="1"/>
  </si>
  <si>
    <t>Paiwise</t>
    <phoneticPr fontId="1"/>
  </si>
  <si>
    <t>Crystal</t>
    <phoneticPr fontId="1"/>
  </si>
  <si>
    <t>Allreduce</t>
    <phoneticPr fontId="1"/>
  </si>
  <si>
    <t xml:space="preserve">Pairwise </t>
    <phoneticPr fontId="1"/>
  </si>
  <si>
    <t xml:space="preserve">Crystal </t>
    <phoneticPr fontId="1"/>
  </si>
  <si>
    <t>4node sum</t>
    <phoneticPr fontId="1"/>
  </si>
  <si>
    <t>2node sum</t>
    <phoneticPr fontId="1"/>
  </si>
  <si>
    <t>2nodes</t>
    <phoneticPr fontId="1"/>
  </si>
  <si>
    <t>4nodes</t>
    <phoneticPr fontId="1"/>
  </si>
  <si>
    <t>8nodes</t>
    <phoneticPr fontId="1"/>
  </si>
  <si>
    <t>speedup</t>
    <phoneticPr fontId="1"/>
  </si>
  <si>
    <t>ps=50</t>
    <phoneticPr fontId="1"/>
  </si>
  <si>
    <t>normalazation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</si>
</sst>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9A9A9A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0688941079017"/>
          <c:y val="7.1304670986923099E-2"/>
          <c:w val="0.89008481796426031"/>
          <c:h val="0.70856087614455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LULESH!$B$1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LULESH!$B$2:$B$6</c:f>
              <c:numCache>
                <c:formatCode>General</c:formatCode>
                <c:ptCount val="5"/>
                <c:pt idx="0">
                  <c:v>5624.8608000000004</c:v>
                </c:pt>
                <c:pt idx="1">
                  <c:v>15699.045</c:v>
                </c:pt>
                <c:pt idx="2">
                  <c:v>18779.967000000001</c:v>
                </c:pt>
                <c:pt idx="3">
                  <c:v>20979.945</c:v>
                </c:pt>
                <c:pt idx="4">
                  <c:v>20975.732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D-764F-9B8A-5987DD02448E}"/>
            </c:ext>
          </c:extLst>
        </c:ser>
        <c:ser>
          <c:idx val="1"/>
          <c:order val="1"/>
          <c:tx>
            <c:strRef>
              <c:f>LULESH!$C$1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LULESH!$C$2:$C$6</c:f>
              <c:numCache>
                <c:formatCode>General</c:formatCode>
                <c:ptCount val="5"/>
                <c:pt idx="0">
                  <c:v>5060.4201999999996</c:v>
                </c:pt>
                <c:pt idx="1">
                  <c:v>15118.303</c:v>
                </c:pt>
                <c:pt idx="2">
                  <c:v>17977.436000000002</c:v>
                </c:pt>
                <c:pt idx="3">
                  <c:v>20599.544999999998</c:v>
                </c:pt>
                <c:pt idx="4">
                  <c:v>20710.399000000001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D-764F-9B8A-5987DD02448E}"/>
            </c:ext>
          </c:extLst>
        </c:ser>
        <c:ser>
          <c:idx val="2"/>
          <c:order val="2"/>
          <c:tx>
            <c:strRef>
              <c:f>LULESH!$D$1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LULESH!$D$2:$D$6</c:f>
              <c:numCache>
                <c:formatCode>General</c:formatCode>
                <c:ptCount val="5"/>
                <c:pt idx="0">
                  <c:v>515.29656</c:v>
                </c:pt>
                <c:pt idx="1">
                  <c:v>3822.7582000000002</c:v>
                </c:pt>
                <c:pt idx="2">
                  <c:v>9972.3084999999992</c:v>
                </c:pt>
                <c:pt idx="3">
                  <c:v>15255.33</c:v>
                </c:pt>
                <c:pt idx="4">
                  <c:v>19663.131000000001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6D-764F-9B8A-5987DD02448E}"/>
            </c:ext>
          </c:extLst>
        </c:ser>
        <c:ser>
          <c:idx val="3"/>
          <c:order val="3"/>
          <c:tx>
            <c:strRef>
              <c:f>LULESH!$E$1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LULESH!$E$2:$E$6</c:f>
              <c:numCache>
                <c:formatCode>General</c:formatCode>
                <c:ptCount val="5"/>
                <c:pt idx="0">
                  <c:v>458.90771000000001</c:v>
                </c:pt>
                <c:pt idx="1">
                  <c:v>2775.8040000000001</c:v>
                </c:pt>
                <c:pt idx="2">
                  <c:v>6236.6351000000004</c:v>
                </c:pt>
                <c:pt idx="3">
                  <c:v>9290.0851999999995</c:v>
                </c:pt>
                <c:pt idx="4">
                  <c:v>11267.638000000001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6D-764F-9B8A-5987DD02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028368"/>
        <c:axId val="1857975600"/>
      </c:barChart>
      <c:catAx>
        <c:axId val="185802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Problem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975600"/>
        <c:crosses val="autoZero"/>
        <c:auto val="1"/>
        <c:lblAlgn val="ctr"/>
        <c:lblOffset val="100"/>
        <c:noMultiLvlLbl val="0"/>
      </c:catAx>
      <c:valAx>
        <c:axId val="185797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FOM (zones/s)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80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702220027458666E-2"/>
          <c:y val="3.5539219102037022E-2"/>
          <c:w val="0.20530668504479666"/>
          <c:h val="0.52035907563671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LULESH!$B$9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LULESH!$B$10:$B$14</c:f>
              <c:numCache>
                <c:formatCode>General</c:formatCode>
                <c:ptCount val="5"/>
                <c:pt idx="0">
                  <c:v>5418.2273999999998</c:v>
                </c:pt>
                <c:pt idx="1">
                  <c:v>21121.981</c:v>
                </c:pt>
                <c:pt idx="2">
                  <c:v>30642.467000000001</c:v>
                </c:pt>
                <c:pt idx="3">
                  <c:v>35584.966</c:v>
                </c:pt>
                <c:pt idx="4">
                  <c:v>37600.175000000003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4-9048-B3BD-E73C77C11A08}"/>
            </c:ext>
          </c:extLst>
        </c:ser>
        <c:ser>
          <c:idx val="1"/>
          <c:order val="1"/>
          <c:tx>
            <c:strRef>
              <c:f>LULESH!$C$9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LULESH!$C$10:$C$14</c:f>
              <c:numCache>
                <c:formatCode>General</c:formatCode>
                <c:ptCount val="5"/>
                <c:pt idx="0">
                  <c:v>4991.1394</c:v>
                </c:pt>
                <c:pt idx="1">
                  <c:v>20420.144</c:v>
                </c:pt>
                <c:pt idx="2">
                  <c:v>29674.716</c:v>
                </c:pt>
                <c:pt idx="3">
                  <c:v>34855.398999999998</c:v>
                </c:pt>
                <c:pt idx="4">
                  <c:v>37267.324999999997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4-9048-B3BD-E73C77C11A08}"/>
            </c:ext>
          </c:extLst>
        </c:ser>
        <c:ser>
          <c:idx val="2"/>
          <c:order val="2"/>
          <c:tx>
            <c:strRef>
              <c:f>LULESH!$D$9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LULESH!$D$10:$D$14</c:f>
              <c:numCache>
                <c:formatCode>General</c:formatCode>
                <c:ptCount val="5"/>
                <c:pt idx="0">
                  <c:v>594.53195000000005</c:v>
                </c:pt>
                <c:pt idx="1">
                  <c:v>4347.7960999999996</c:v>
                </c:pt>
                <c:pt idx="2">
                  <c:v>11880.457</c:v>
                </c:pt>
                <c:pt idx="3">
                  <c:v>21084.585999999999</c:v>
                </c:pt>
                <c:pt idx="4">
                  <c:v>28797.251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4-9048-B3BD-E73C77C11A08}"/>
            </c:ext>
          </c:extLst>
        </c:ser>
        <c:ser>
          <c:idx val="3"/>
          <c:order val="3"/>
          <c:tx>
            <c:strRef>
              <c:f>LULESH!$E$9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LULESH!$E$10:$E$14</c:f>
              <c:numCache>
                <c:formatCode>General</c:formatCode>
                <c:ptCount val="5"/>
                <c:pt idx="0">
                  <c:v>482.13216999999997</c:v>
                </c:pt>
                <c:pt idx="1">
                  <c:v>3220.1873000000001</c:v>
                </c:pt>
                <c:pt idx="2">
                  <c:v>8538.6028000000006</c:v>
                </c:pt>
                <c:pt idx="3">
                  <c:v>13349.763999999999</c:v>
                </c:pt>
                <c:pt idx="4">
                  <c:v>19210.503000000001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4-9048-B3BD-E73C77C11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321135"/>
        <c:axId val="1974058015"/>
      </c:barChart>
      <c:catAx>
        <c:axId val="177432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Problem Size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4058015"/>
        <c:crosses val="autoZero"/>
        <c:auto val="1"/>
        <c:lblAlgn val="ctr"/>
        <c:lblOffset val="100"/>
        <c:noMultiLvlLbl val="0"/>
      </c:catAx>
      <c:valAx>
        <c:axId val="19740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FOM (zones/s)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432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52592026153591"/>
          <c:y val="3.0588003772050291E-2"/>
          <c:w val="0.25657154968016399"/>
          <c:h val="0.3456709537002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LULESH!$B$1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(LULESH!$B$6,LULESH!$B$14,LULESH!$B$22)</c:f>
              <c:numCache>
                <c:formatCode>General</c:formatCode>
                <c:ptCount val="3"/>
                <c:pt idx="0">
                  <c:v>20975.732</c:v>
                </c:pt>
                <c:pt idx="1">
                  <c:v>37600.175000000003</c:v>
                </c:pt>
                <c:pt idx="2">
                  <c:v>43164.962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0-6645-A2CD-625EB2C15CB0}"/>
            </c:ext>
          </c:extLst>
        </c:ser>
        <c:ser>
          <c:idx val="1"/>
          <c:order val="1"/>
          <c:tx>
            <c:strRef>
              <c:f>LULESH!$C$1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(LULESH!$C$6,LULESH!$C$14,LULESH!$C$22)</c:f>
              <c:numCache>
                <c:formatCode>General</c:formatCode>
                <c:ptCount val="3"/>
                <c:pt idx="0">
                  <c:v>20710.399000000001</c:v>
                </c:pt>
                <c:pt idx="1">
                  <c:v>37267.324999999997</c:v>
                </c:pt>
                <c:pt idx="2">
                  <c:v>41001.682000000001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80-6645-A2CD-625EB2C15CB0}"/>
            </c:ext>
          </c:extLst>
        </c:ser>
        <c:ser>
          <c:idx val="2"/>
          <c:order val="2"/>
          <c:tx>
            <c:strRef>
              <c:f>LULESH!$D$1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(LULESH!$D$6,LULESH!$D$14,LULESH!$D$22)</c:f>
              <c:numCache>
                <c:formatCode>General</c:formatCode>
                <c:ptCount val="3"/>
                <c:pt idx="0">
                  <c:v>19663.131000000001</c:v>
                </c:pt>
                <c:pt idx="1">
                  <c:v>28797.251</c:v>
                </c:pt>
                <c:pt idx="2">
                  <c:v>31522.866000000002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80-6645-A2CD-625EB2C15CB0}"/>
            </c:ext>
          </c:extLst>
        </c:ser>
        <c:ser>
          <c:idx val="3"/>
          <c:order val="3"/>
          <c:tx>
            <c:strRef>
              <c:f>LULESH!$E$1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(LULESH!$E$6,LULESH!$E$14,LULESH!$E$22)</c:f>
              <c:numCache>
                <c:formatCode>General</c:formatCode>
                <c:ptCount val="3"/>
                <c:pt idx="0">
                  <c:v>11267.638000000001</c:v>
                </c:pt>
                <c:pt idx="1">
                  <c:v>19210.503000000001</c:v>
                </c:pt>
                <c:pt idx="2">
                  <c:v>22658.851999999999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80-6645-A2CD-625EB2C15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645232"/>
        <c:axId val="371646960"/>
      </c:barChart>
      <c:catAx>
        <c:axId val="3716452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 of nodes</a:t>
                </a:r>
                <a:endParaRPr lang="ja-JP" altLang="en-US" b="1"/>
              </a:p>
            </c:rich>
          </c:tx>
          <c:layout>
            <c:manualLayout>
              <c:xMode val="edge"/>
              <c:yMode val="edge"/>
              <c:x val="0.47255005624296964"/>
              <c:y val="0.92450576288590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crossAx val="371646960"/>
        <c:crosses val="autoZero"/>
        <c:auto val="1"/>
        <c:lblAlgn val="ctr"/>
        <c:lblOffset val="100"/>
        <c:noMultiLvlLbl val="0"/>
      </c:catAx>
      <c:valAx>
        <c:axId val="3716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FOM (zones/s)</a:t>
                </a:r>
                <a:r>
                  <a:rPr lang="en-US" altLang="ja-JP" b="1" baseline="0"/>
                  <a:t> 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164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21355022929826"/>
          <c:y val="1.4571025002045358E-2"/>
          <c:w val="0.28368278965129357"/>
          <c:h val="0.28282684734554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LULESH!$B$1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LULESH!$B$40:$B$42</c:f>
              <c:numCache>
                <c:formatCode>General</c:formatCode>
                <c:ptCount val="3"/>
                <c:pt idx="0">
                  <c:v>1.8615908675802328</c:v>
                </c:pt>
                <c:pt idx="1">
                  <c:v>3.3370059457004211</c:v>
                </c:pt>
                <c:pt idx="2">
                  <c:v>3.8308793732990001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2-C44E-9BB2-677A0F3C95E9}"/>
            </c:ext>
          </c:extLst>
        </c:ser>
        <c:ser>
          <c:idx val="1"/>
          <c:order val="1"/>
          <c:tx>
            <c:strRef>
              <c:f>LULESH!$C$1</c:f>
              <c:strCache>
                <c:ptCount val="1"/>
                <c:pt idx="0">
                  <c:v>Native+Enc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LULESH!$C$40:$C$42</c:f>
              <c:numCache>
                <c:formatCode>General</c:formatCode>
                <c:ptCount val="3"/>
                <c:pt idx="0">
                  <c:v>1.8380426314725411</c:v>
                </c:pt>
                <c:pt idx="1">
                  <c:v>3.3074655930550834</c:v>
                </c:pt>
                <c:pt idx="2">
                  <c:v>3.6388888247918505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2-C44E-9BB2-677A0F3C95E9}"/>
            </c:ext>
          </c:extLst>
        </c:ser>
        <c:ser>
          <c:idx val="2"/>
          <c:order val="2"/>
          <c:tx>
            <c:strRef>
              <c:f>LULESH!$D$1</c:f>
              <c:strCache>
                <c:ptCount val="1"/>
                <c:pt idx="0">
                  <c:v>TEE+Unenc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LULESH!$D$40:$D$42</c:f>
              <c:numCache>
                <c:formatCode>General</c:formatCode>
                <c:ptCount val="3"/>
                <c:pt idx="0">
                  <c:v>1.7450978634563872</c:v>
                </c:pt>
                <c:pt idx="1">
                  <c:v>2.5557486848619027</c:v>
                </c:pt>
                <c:pt idx="2">
                  <c:v>2.7976463212609421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2-C44E-9BB2-677A0F3C95E9}"/>
            </c:ext>
          </c:extLst>
        </c:ser>
        <c:ser>
          <c:idx val="3"/>
          <c:order val="3"/>
          <c:tx>
            <c:strRef>
              <c:f>LULESH!$E$1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2</c:v>
              </c:pt>
              <c:pt idx="1">
                <c:v>4</c:v>
              </c:pt>
              <c:pt idx="2">
                <c:v>8</c:v>
              </c:pt>
            </c:numLit>
          </c:cat>
          <c:val>
            <c:numRef>
              <c:f>LULESH!$E$40:$E$42</c:f>
              <c:numCache>
                <c:formatCode>General</c:formatCode>
                <c:ptCount val="3"/>
                <c:pt idx="0">
                  <c:v>1</c:v>
                </c:pt>
                <c:pt idx="1">
                  <c:v>1.704927243846492</c:v>
                </c:pt>
                <c:pt idx="2">
                  <c:v>2.0109673384963198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12-C44E-9BB2-677A0F3C9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886976"/>
        <c:axId val="1138327312"/>
      </c:lineChart>
      <c:catAx>
        <c:axId val="14338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8327312"/>
        <c:crosses val="autoZero"/>
        <c:auto val="1"/>
        <c:lblAlgn val="ctr"/>
        <c:lblOffset val="100"/>
        <c:noMultiLvlLbl val="0"/>
      </c:catAx>
      <c:valAx>
        <c:axId val="11383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38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765736840899237E-2"/>
          <c:y val="3.5173284415564811E-2"/>
          <c:w val="0.19431237784319977"/>
          <c:h val="0.30563383228292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PENNANT!$B$1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(PENNANT!$B$7,PENNANT!$B$16,PENNANT!$B$26)</c:f>
              <c:numCache>
                <c:formatCode>General</c:formatCode>
                <c:ptCount val="3"/>
                <c:pt idx="0">
                  <c:v>14.225382500000002</c:v>
                </c:pt>
                <c:pt idx="1">
                  <c:v>7.3144435999999997</c:v>
                </c:pt>
                <c:pt idx="2">
                  <c:v>4.3227653999999998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8-2A44-B561-BABCAA48D4BE}"/>
            </c:ext>
          </c:extLst>
        </c:ser>
        <c:ser>
          <c:idx val="1"/>
          <c:order val="1"/>
          <c:tx>
            <c:strRef>
              <c:f>PENNANT!$C$1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(PENNANT!$C$7,PENNANT!$C$16,PENNANT!$C$26)</c:f>
              <c:numCache>
                <c:formatCode>General</c:formatCode>
                <c:ptCount val="3"/>
                <c:pt idx="0">
                  <c:v>14.345097999999998</c:v>
                </c:pt>
                <c:pt idx="1">
                  <c:v>7.2951889999999988</c:v>
                </c:pt>
                <c:pt idx="2">
                  <c:v>4.4591931999999996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8-2A44-B561-BABCAA48D4BE}"/>
            </c:ext>
          </c:extLst>
        </c:ser>
        <c:ser>
          <c:idx val="2"/>
          <c:order val="2"/>
          <c:tx>
            <c:strRef>
              <c:f>PENNANT!$D$1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(PENNANT!$D$7,PENNANT!$D$16,PENNANT!$D$26)</c:f>
              <c:numCache>
                <c:formatCode>General</c:formatCode>
                <c:ptCount val="3"/>
                <c:pt idx="0">
                  <c:v>19.477827999999999</c:v>
                </c:pt>
                <c:pt idx="1">
                  <c:v>11.672800000000001</c:v>
                </c:pt>
                <c:pt idx="2">
                  <c:v>8.0468492000000005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8-2A44-B561-BABCAA48D4BE}"/>
            </c:ext>
          </c:extLst>
        </c:ser>
        <c:ser>
          <c:idx val="3"/>
          <c:order val="3"/>
          <c:tx>
            <c:strRef>
              <c:f>PENNANT!$E$1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(PENNANT!$E$7,PENNANT!$E$16,PENNANT!$E$26)</c:f>
              <c:numCache>
                <c:formatCode>General</c:formatCode>
                <c:ptCount val="3"/>
                <c:pt idx="0">
                  <c:v>28.237770000000001</c:v>
                </c:pt>
                <c:pt idx="1">
                  <c:v>20.683608</c:v>
                </c:pt>
                <c:pt idx="2">
                  <c:v>17.142072000000002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F8-2A44-B561-BABCAA48D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943760"/>
        <c:axId val="1759460447"/>
      </c:barChart>
      <c:catAx>
        <c:axId val="121494376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>
                    <a:solidFill>
                      <a:schemeClr val="tx1"/>
                    </a:solidFill>
                  </a:rPr>
                  <a:t>Execution Environment</a:t>
                </a:r>
                <a:endParaRPr lang="ja-JP" altLang="en-US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552852322031177"/>
              <c:y val="0.911021849259018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crossAx val="1759460447"/>
        <c:crosses val="autoZero"/>
        <c:auto val="1"/>
        <c:lblAlgn val="ctr"/>
        <c:lblOffset val="100"/>
        <c:noMultiLvlLbl val="0"/>
      </c:catAx>
      <c:valAx>
        <c:axId val="175946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</a:t>
                </a:r>
                <a:r>
                  <a:rPr lang="en-US" altLang="ja-JP" b="1" baseline="0"/>
                  <a:t> Time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494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247380684557284"/>
          <c:y val="2.7247404598376865E-2"/>
          <c:w val="0.23921838341635868"/>
          <c:h val="0.27428699766920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PENNANT!$B$1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PENNANT!$A$41:$A$43</c:f>
              <c:strCache>
                <c:ptCount val="3"/>
                <c:pt idx="0">
                  <c:v>2nodes</c:v>
                </c:pt>
                <c:pt idx="1">
                  <c:v>4nodes</c:v>
                </c:pt>
                <c:pt idx="2">
                  <c:v>8nodes</c:v>
                </c:pt>
              </c:strCache>
            </c:strRef>
          </c:cat>
          <c:val>
            <c:numRef>
              <c:f>PENNANT!$B$41:$B$43</c:f>
              <c:numCache>
                <c:formatCode>General</c:formatCode>
                <c:ptCount val="3"/>
                <c:pt idx="0">
                  <c:v>1.985027116142571</c:v>
                </c:pt>
                <c:pt idx="1">
                  <c:v>3.8605492836119484</c:v>
                </c:pt>
                <c:pt idx="2">
                  <c:v>6.532339228957464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1-BF49-873C-80326C96406C}"/>
            </c:ext>
          </c:extLst>
        </c:ser>
        <c:ser>
          <c:idx val="1"/>
          <c:order val="1"/>
          <c:tx>
            <c:strRef>
              <c:f>PENNANT!$C$1</c:f>
              <c:strCache>
                <c:ptCount val="1"/>
                <c:pt idx="0">
                  <c:v>Native+Enc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PENNANT!$A$41:$A$43</c:f>
              <c:strCache>
                <c:ptCount val="3"/>
                <c:pt idx="0">
                  <c:v>2nodes</c:v>
                </c:pt>
                <c:pt idx="1">
                  <c:v>4nodes</c:v>
                </c:pt>
                <c:pt idx="2">
                  <c:v>8nodes</c:v>
                </c:pt>
              </c:strCache>
            </c:strRef>
          </c:cat>
          <c:val>
            <c:numRef>
              <c:f>PENNANT!$C$41:$C$43</c:f>
              <c:numCache>
                <c:formatCode>General</c:formatCode>
                <c:ptCount val="3"/>
                <c:pt idx="0">
                  <c:v>1.9684612820351597</c:v>
                </c:pt>
                <c:pt idx="1">
                  <c:v>3.8707386470727498</c:v>
                </c:pt>
                <c:pt idx="2">
                  <c:v>6.3324840915168252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1-BF49-873C-80326C96406C}"/>
            </c:ext>
          </c:extLst>
        </c:ser>
        <c:ser>
          <c:idx val="2"/>
          <c:order val="2"/>
          <c:tx>
            <c:strRef>
              <c:f>PENNANT!$D$1</c:f>
              <c:strCache>
                <c:ptCount val="1"/>
                <c:pt idx="0">
                  <c:v>TEE+Unenc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PENNANT!$A$41:$A$43</c:f>
              <c:strCache>
                <c:ptCount val="3"/>
                <c:pt idx="0">
                  <c:v>2nodes</c:v>
                </c:pt>
                <c:pt idx="1">
                  <c:v>4nodes</c:v>
                </c:pt>
                <c:pt idx="2">
                  <c:v>8nodes</c:v>
                </c:pt>
              </c:strCache>
            </c:strRef>
          </c:cat>
          <c:val>
            <c:numRef>
              <c:f>PENNANT!$D$41:$D$43</c:f>
              <c:numCache>
                <c:formatCode>General</c:formatCode>
                <c:ptCount val="3"/>
                <c:pt idx="0">
                  <c:v>1.4497391598282932</c:v>
                </c:pt>
                <c:pt idx="1">
                  <c:v>2.4191085258035776</c:v>
                </c:pt>
                <c:pt idx="2">
                  <c:v>3.5091710181421072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1-BF49-873C-80326C96406C}"/>
            </c:ext>
          </c:extLst>
        </c:ser>
        <c:ser>
          <c:idx val="3"/>
          <c:order val="3"/>
          <c:tx>
            <c:strRef>
              <c:f>PENNANT!$E$1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PENNANT!$A$41:$A$43</c:f>
              <c:strCache>
                <c:ptCount val="3"/>
                <c:pt idx="0">
                  <c:v>2nodes</c:v>
                </c:pt>
                <c:pt idx="1">
                  <c:v>4nodes</c:v>
                </c:pt>
                <c:pt idx="2">
                  <c:v>8nodes</c:v>
                </c:pt>
              </c:strCache>
            </c:strRef>
          </c:cat>
          <c:val>
            <c:numRef>
              <c:f>PENNANT!$E$41:$E$43</c:f>
              <c:numCache>
                <c:formatCode>General</c:formatCode>
                <c:ptCount val="3"/>
                <c:pt idx="0">
                  <c:v>1</c:v>
                </c:pt>
                <c:pt idx="1">
                  <c:v>1.365224577839611</c:v>
                </c:pt>
                <c:pt idx="2">
                  <c:v>1.6472786953642475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71-BF49-873C-80326C964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242272"/>
        <c:axId val="1415217711"/>
      </c:lineChart>
      <c:catAx>
        <c:axId val="25524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217711"/>
        <c:crosses val="autoZero"/>
        <c:auto val="1"/>
        <c:lblAlgn val="ctr"/>
        <c:lblOffset val="100"/>
        <c:noMultiLvlLbl val="0"/>
      </c:catAx>
      <c:valAx>
        <c:axId val="141521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52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328608269393924E-2"/>
          <c:y val="0.1051072196178614"/>
          <c:w val="0.27509615848529029"/>
          <c:h val="0.33108082035305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BigSort!$B$1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(BigSort!$B$2,BigSort!$B$11,BigSort!$B$21)</c:f>
              <c:numCache>
                <c:formatCode>General</c:formatCode>
                <c:ptCount val="3"/>
                <c:pt idx="0">
                  <c:v>202.82772</c:v>
                </c:pt>
                <c:pt idx="1">
                  <c:v>196.47213099999999</c:v>
                </c:pt>
                <c:pt idx="2">
                  <c:v>270.15974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D-1B4C-BDC7-036A8F7837A4}"/>
            </c:ext>
          </c:extLst>
        </c:ser>
        <c:ser>
          <c:idx val="1"/>
          <c:order val="1"/>
          <c:tx>
            <c:strRef>
              <c:f>BigSort!$C$1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(BigSort!$C$2,BigSort!$C$11,BigSort!$C$21)</c:f>
              <c:numCache>
                <c:formatCode>General</c:formatCode>
                <c:ptCount val="3"/>
                <c:pt idx="0">
                  <c:v>212.55124000000001</c:v>
                </c:pt>
                <c:pt idx="1">
                  <c:v>173.82131000000001</c:v>
                </c:pt>
                <c:pt idx="2">
                  <c:v>263.330444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D-1B4C-BDC7-036A8F7837A4}"/>
            </c:ext>
          </c:extLst>
        </c:ser>
        <c:ser>
          <c:idx val="2"/>
          <c:order val="2"/>
          <c:tx>
            <c:strRef>
              <c:f>BigSort!$D$1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(BigSort!$D$2,BigSort!$D$11,BigSort!$D$21)</c:f>
              <c:numCache>
                <c:formatCode>General</c:formatCode>
                <c:ptCount val="3"/>
                <c:pt idx="0">
                  <c:v>249.3</c:v>
                </c:pt>
                <c:pt idx="1">
                  <c:v>198.79543799999999</c:v>
                </c:pt>
                <c:pt idx="2">
                  <c:v>262.61755399999998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D-1B4C-BDC7-036A8F7837A4}"/>
            </c:ext>
          </c:extLst>
        </c:ser>
        <c:ser>
          <c:idx val="3"/>
          <c:order val="3"/>
          <c:tx>
            <c:strRef>
              <c:f>BigSort!$E$1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(BigSort!$E$2,BigSort!$E$11,BigSort!$E$21)</c:f>
              <c:numCache>
                <c:formatCode>General</c:formatCode>
                <c:ptCount val="3"/>
                <c:pt idx="0">
                  <c:v>202.43186299999999</c:v>
                </c:pt>
                <c:pt idx="1">
                  <c:v>163.93255500000001</c:v>
                </c:pt>
                <c:pt idx="2">
                  <c:v>229.255077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D-1B4C-BDC7-036A8F78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172896"/>
        <c:axId val="1567156880"/>
      </c:barChart>
      <c:catAx>
        <c:axId val="15671728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</a:t>
                </a:r>
                <a:r>
                  <a:rPr lang="en-US" altLang="ja-JP" b="1" baseline="0"/>
                  <a:t> of nodes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out"/>
        <c:minorTickMark val="none"/>
        <c:tickLblPos val="nextTo"/>
        <c:crossAx val="1567156880"/>
        <c:crosses val="autoZero"/>
        <c:auto val="1"/>
        <c:lblAlgn val="ctr"/>
        <c:lblOffset val="100"/>
        <c:noMultiLvlLbl val="0"/>
      </c:catAx>
      <c:valAx>
        <c:axId val="15671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ExecutionTime</a:t>
                </a:r>
                <a:r>
                  <a:rPr lang="en-US" altLang="ja-JP" b="1" baseline="0"/>
                  <a:t>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7172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3790869631601"/>
          <c:y val="2.4587682353659279E-2"/>
          <c:w val="0.26895720516348098"/>
          <c:h val="0.26331073199183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'Nekbone-comm'!$B$1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'Nekbone-comm'!$B$14:$B$15</c:f>
              <c:numCache>
                <c:formatCode>General</c:formatCode>
                <c:ptCount val="2"/>
                <c:pt idx="0">
                  <c:v>6.3469766666666603E-4</c:v>
                </c:pt>
                <c:pt idx="1">
                  <c:v>1.944565666666659E-3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8-3A4A-A5F7-2DE07A22D3A2}"/>
            </c:ext>
          </c:extLst>
        </c:ser>
        <c:ser>
          <c:idx val="1"/>
          <c:order val="1"/>
          <c:tx>
            <c:strRef>
              <c:f>'Nekbone-comm'!$C$1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'Nekbone-comm'!$C$14:$C$15</c:f>
              <c:numCache>
                <c:formatCode>General</c:formatCode>
                <c:ptCount val="2"/>
                <c:pt idx="0">
                  <c:v>6.8792499999999895E-4</c:v>
                </c:pt>
                <c:pt idx="1">
                  <c:v>2.2719709999999989E-3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8-3A4A-A5F7-2DE07A22D3A2}"/>
            </c:ext>
          </c:extLst>
        </c:ser>
        <c:ser>
          <c:idx val="2"/>
          <c:order val="2"/>
          <c:tx>
            <c:strRef>
              <c:f>'Nekbone-comm'!$D$1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'Nekbone-comm'!$D$14:$D$15</c:f>
              <c:numCache>
                <c:formatCode>General</c:formatCode>
                <c:ptCount val="2"/>
                <c:pt idx="0">
                  <c:v>1.1673683333333321E-3</c:v>
                </c:pt>
                <c:pt idx="1">
                  <c:v>4.4053479999999904E-3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8-3A4A-A5F7-2DE07A22D3A2}"/>
            </c:ext>
          </c:extLst>
        </c:ser>
        <c:ser>
          <c:idx val="3"/>
          <c:order val="3"/>
          <c:tx>
            <c:strRef>
              <c:f>'Nekbone-comm'!$E$1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'Nekbone-comm'!$E$14:$E$15</c:f>
              <c:numCache>
                <c:formatCode>General</c:formatCode>
                <c:ptCount val="2"/>
                <c:pt idx="0">
                  <c:v>3.6600699999999801E-3</c:v>
                </c:pt>
                <c:pt idx="1">
                  <c:v>1.251310333333332E-2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48-3A4A-A5F7-2DE07A22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145455"/>
        <c:axId val="1686626703"/>
      </c:barChart>
      <c:catAx>
        <c:axId val="16871454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</a:t>
                </a:r>
                <a:r>
                  <a:rPr lang="en-US" altLang="ja-JP" b="1" baseline="0"/>
                  <a:t> of nodes</a:t>
                </a:r>
                <a:endParaRPr lang="ja-JP" altLang="en-US" b="1"/>
              </a:p>
            </c:rich>
          </c:tx>
          <c:layout>
            <c:manualLayout>
              <c:xMode val="edge"/>
              <c:yMode val="edge"/>
              <c:x val="0.47644799471144877"/>
              <c:y val="0.928248438772739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crossAx val="1686626703"/>
        <c:crosses val="autoZero"/>
        <c:auto val="1"/>
        <c:lblAlgn val="ctr"/>
        <c:lblOffset val="100"/>
        <c:noMultiLvlLbl val="0"/>
      </c:catAx>
      <c:valAx>
        <c:axId val="16866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</a:t>
                </a:r>
                <a:r>
                  <a:rPr lang="en-US" altLang="ja-JP" b="1" baseline="0"/>
                  <a:t> T</a:t>
                </a:r>
                <a:r>
                  <a:rPr lang="en-US" altLang="ja-JP" b="1"/>
                  <a:t>ime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714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82839127644621"/>
          <c:y val="7.6745973300100079E-2"/>
          <c:w val="0.3030287966914873"/>
          <c:h val="0.2284607856221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'Nekbone-comm'!$G$11</c:f>
              <c:strCache>
                <c:ptCount val="1"/>
                <c:pt idx="0">
                  <c:v>Pairwise 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'Nekbone-comm'!$H$11:$K$11</c:f>
              <c:numCache>
                <c:formatCode>General</c:formatCode>
                <c:ptCount val="4"/>
                <c:pt idx="0">
                  <c:v>3.4949766666666598E-4</c:v>
                </c:pt>
                <c:pt idx="1">
                  <c:v>3.5673766666666597E-4</c:v>
                </c:pt>
                <c:pt idx="2">
                  <c:v>7.4480800000000002E-4</c:v>
                </c:pt>
                <c:pt idx="3">
                  <c:v>2.6461166666666598E-3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1-E143-BDE1-2666C8AA8493}"/>
            </c:ext>
          </c:extLst>
        </c:ser>
        <c:ser>
          <c:idx val="1"/>
          <c:order val="1"/>
          <c:tx>
            <c:strRef>
              <c:f>'Nekbone-comm'!$G$12</c:f>
              <c:strCache>
                <c:ptCount val="1"/>
                <c:pt idx="0">
                  <c:v>Crystal 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'Nekbone-comm'!$H$12:$K$12</c:f>
              <c:numCache>
                <c:formatCode>General</c:formatCode>
                <c:ptCount val="4"/>
                <c:pt idx="0">
                  <c:v>5.82083333333333E-4</c:v>
                </c:pt>
                <c:pt idx="1">
                  <c:v>6.0023666666666597E-4</c:v>
                </c:pt>
                <c:pt idx="2">
                  <c:v>1.2595366666666599E-3</c:v>
                </c:pt>
                <c:pt idx="3">
                  <c:v>3.0817599999999998E-3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1-E143-BDE1-2666C8AA8493}"/>
            </c:ext>
          </c:extLst>
        </c:ser>
        <c:ser>
          <c:idx val="2"/>
          <c:order val="2"/>
          <c:tx>
            <c:strRef>
              <c:f>'Nekbone-comm'!$G$13</c:f>
              <c:strCache>
                <c:ptCount val="1"/>
                <c:pt idx="0">
                  <c:v>Allreduce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'Nekbone-comm'!$H$13:$K$13</c:f>
              <c:numCache>
                <c:formatCode>General</c:formatCode>
                <c:ptCount val="4"/>
                <c:pt idx="0">
                  <c:v>1.01298466666666E-3</c:v>
                </c:pt>
                <c:pt idx="1">
                  <c:v>1.3149966666666669E-3</c:v>
                </c:pt>
                <c:pt idx="2">
                  <c:v>2.4010033333333302E-3</c:v>
                </c:pt>
                <c:pt idx="3">
                  <c:v>6.7852266666666603E-3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1-E143-BDE1-2666C8AA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9504431"/>
        <c:axId val="2102241167"/>
      </c:barChart>
      <c:catAx>
        <c:axId val="175950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Execution Environment</a:t>
                </a:r>
                <a:endParaRPr lang="ja-JP" b="1"/>
              </a:p>
            </c:rich>
          </c:tx>
          <c:layout>
            <c:manualLayout>
              <c:xMode val="edge"/>
              <c:yMode val="edge"/>
              <c:x val="0.43378923657970619"/>
              <c:y val="0.85380403942044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2241167"/>
        <c:crosses val="autoZero"/>
        <c:auto val="1"/>
        <c:lblAlgn val="ctr"/>
        <c:lblOffset val="100"/>
        <c:noMultiLvlLbl val="0"/>
      </c:catAx>
      <c:valAx>
        <c:axId val="21022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Executtion TIme (s)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950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39969773716934"/>
          <c:y val="5.8875029235207023E-2"/>
          <c:w val="0.20833070866141731"/>
          <c:h val="0.20387305460056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825499</xdr:colOff>
      <xdr:row>50</xdr:row>
      <xdr:rowOff>29632</xdr:rowOff>
    </xdr:from>
    <xdr:to>
      <xdr:col>12</xdr:col>
      <xdr:colOff>785283</xdr:colOff>
      <xdr:row>67</xdr:row>
      <xdr:rowOff>16932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F6A83F-BC49-5C2D-14D4-8F7506EF7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795868</xdr:colOff>
      <xdr:row>0</xdr:row>
      <xdr:rowOff>0</xdr:rowOff>
    </xdr:from>
    <xdr:to>
      <xdr:col>19</xdr:col>
      <xdr:colOff>660401</xdr:colOff>
      <xdr:row>23</xdr:row>
      <xdr:rowOff>42333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F07AD85-ACE1-2164-910B-EA4B19BE1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728132</xdr:colOff>
      <xdr:row>28</xdr:row>
      <xdr:rowOff>16932</xdr:rowOff>
    </xdr:from>
    <xdr:to>
      <xdr:col>20</xdr:col>
      <xdr:colOff>905932</xdr:colOff>
      <xdr:row>54</xdr:row>
      <xdr:rowOff>245533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8FD15C8-977E-0F12-0CC7-9F5E0A3D0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2235199</xdr:colOff>
      <xdr:row>44</xdr:row>
      <xdr:rowOff>169333</xdr:rowOff>
    </xdr:from>
    <xdr:to>
      <xdr:col>9</xdr:col>
      <xdr:colOff>931334</xdr:colOff>
      <xdr:row>59</xdr:row>
      <xdr:rowOff>135466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DD3E22-55BF-148A-7F07-0E480A028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0.19733</cdr:x>
      <cdr:y>0.86889</cdr:y>
    </cdr:from>
    <cdr:to>
      <cdr:x>0.97802</cdr:x>
      <cdr:y>0.96283</cdr:y>
    </cdr:to>
    <cdr:grpSp>
      <cdr:nvGrpSpPr>
        <cdr:cNvPr id="5" name="グループ化 4">
          <a:extLst xmlns:a="http://schemas.openxmlformats.org/drawingml/2006/main">
            <a:ext uri="{FF2B5EF4-FFF2-40B4-BE49-F238E27FC236}">
              <a16:creationId xmlns:a16="http://schemas.microsoft.com/office/drawing/2014/main" id="{4522798C-9231-621C-9288-62CBAABBA6A1}"/>
            </a:ext>
          </a:extLst>
        </cdr:cNvPr>
        <cdr:cNvGrpSpPr/>
      </cdr:nvGrpSpPr>
      <cdr:grpSpPr>
        <a:xfrm xmlns:a="http://schemas.openxmlformats.org/drawingml/2006/main">
          <a:off x="2280543" y="5936779"/>
          <a:ext cx="9022434" cy="641854"/>
          <a:chOff x="2280581" y="6190788"/>
          <a:chExt cx="9022419" cy="641813"/>
        </a:xfrm>
      </cdr:grpSpPr>
      <cdr:sp macro="" textlink="">
        <cdr:nvSpPr>
          <cdr:cNvPr id="2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E733E748-3D00-7DD9-012C-8EEDE6D9CD4E}"/>
              </a:ext>
            </a:extLst>
          </cdr:cNvPr>
          <cdr:cNvSpPr txBox="1"/>
        </cdr:nvSpPr>
        <cdr:spPr>
          <a:xfrm xmlns:a="http://schemas.openxmlformats.org/drawingml/2006/main">
            <a:off x="2280581" y="6190788"/>
            <a:ext cx="1981200" cy="6418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kern="1200"/>
              <a:t>2nodes</a:t>
            </a:r>
            <a:endParaRPr lang="ja-JP" altLang="en-US" sz="2000" kern="1200"/>
          </a:p>
        </cdr:txBody>
      </cdr:sp>
      <cdr:sp macro="" textlink="">
        <cdr:nvSpPr>
          <cdr:cNvPr id="3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426601AE-5A42-C568-11A4-9BDF91536DF8}"/>
              </a:ext>
            </a:extLst>
          </cdr:cNvPr>
          <cdr:cNvSpPr txBox="1"/>
        </cdr:nvSpPr>
        <cdr:spPr>
          <a:xfrm xmlns:a="http://schemas.openxmlformats.org/drawingml/2006/main">
            <a:off x="5923275" y="6190788"/>
            <a:ext cx="1981200" cy="6418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kern="1200"/>
              <a:t>4nodes</a:t>
            </a:r>
            <a:endParaRPr lang="ja-JP" altLang="en-US" sz="2000" kern="1200"/>
          </a:p>
        </cdr:txBody>
      </cdr:sp>
      <cdr:sp macro="" textlink="">
        <cdr:nvSpPr>
          <cdr:cNvPr id="4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C3AF26E8-7367-D703-3C79-1B8D5BC0BFAF}"/>
              </a:ext>
            </a:extLst>
          </cdr:cNvPr>
          <cdr:cNvSpPr txBox="1"/>
        </cdr:nvSpPr>
        <cdr:spPr>
          <a:xfrm xmlns:a="http://schemas.openxmlformats.org/drawingml/2006/main">
            <a:off x="9321800" y="6190788"/>
            <a:ext cx="1981200" cy="6418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kern="1200"/>
              <a:t>8nodes</a:t>
            </a:r>
            <a:endParaRPr lang="ja-JP" altLang="en-US" sz="2000" kern="1200"/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179294</xdr:colOff>
      <xdr:row>18</xdr:row>
      <xdr:rowOff>119530</xdr:rowOff>
    </xdr:from>
    <xdr:to>
      <xdr:col>21</xdr:col>
      <xdr:colOff>194235</xdr:colOff>
      <xdr:row>41</xdr:row>
      <xdr:rowOff>74706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D0E8A24-B1A0-13BB-B8BE-BE1DFC80F227}"/>
            </a:ext>
          </a:extLst>
        </xdr:cNvPr>
        <xdr:cNvGrpSpPr/>
      </xdr:nvGrpSpPr>
      <xdr:grpSpPr>
        <a:xfrm>
          <a:off x="14358470" y="4691530"/>
          <a:ext cx="12446000" cy="5797176"/>
          <a:chOff x="8546353" y="4407648"/>
          <a:chExt cx="12446000" cy="5797176"/>
        </a:xfrm>
      </xdr:grpSpPr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4C74216E-7800-B4B3-8154-E866CB047304}"/>
              </a:ext>
            </a:extLst>
          </xdr:cNvPr>
          <xdr:cNvGraphicFramePr/>
        </xdr:nvGraphicFramePr>
        <xdr:xfrm>
          <a:off x="8546353" y="4407648"/>
          <a:ext cx="12446000" cy="5797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001E53D0-D0F6-E88E-CB7A-1850AA143429}"/>
              </a:ext>
            </a:extLst>
          </xdr:cNvPr>
          <xdr:cNvGrpSpPr/>
        </xdr:nvGrpSpPr>
        <xdr:grpSpPr>
          <a:xfrm>
            <a:off x="10936940" y="9308355"/>
            <a:ext cx="8616121" cy="438275"/>
            <a:chOff x="5752352" y="5363884"/>
            <a:chExt cx="8616121" cy="438275"/>
          </a:xfrm>
        </xdr:grpSpPr>
        <xdr:sp macro="" textlink="">
          <xdr:nvSpPr>
            <xdr:cNvPr id="6" name="テキスト ボックス 1">
              <a:extLst>
                <a:ext uri="{FF2B5EF4-FFF2-40B4-BE49-F238E27FC236}">
                  <a16:creationId xmlns:a16="http://schemas.microsoft.com/office/drawing/2014/main" id="{E733E748-3D00-7DD9-012C-8EEDE6D9CD4E}"/>
                </a:ext>
              </a:extLst>
            </xdr:cNvPr>
            <xdr:cNvSpPr txBox="1"/>
          </xdr:nvSpPr>
          <xdr:spPr>
            <a:xfrm>
              <a:off x="5752352" y="5395757"/>
              <a:ext cx="1270000" cy="406402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 sz="2000" b="1" kern="1200"/>
                <a:t>2nodes</a:t>
              </a:r>
              <a:endParaRPr lang="ja-JP" altLang="en-US" sz="2000" b="1" kern="1200"/>
            </a:p>
          </xdr:txBody>
        </xdr:sp>
        <xdr:sp macro="" textlink="">
          <xdr:nvSpPr>
            <xdr:cNvPr id="7" name="テキスト ボックス 1">
              <a:extLst>
                <a:ext uri="{FF2B5EF4-FFF2-40B4-BE49-F238E27FC236}">
                  <a16:creationId xmlns:a16="http://schemas.microsoft.com/office/drawing/2014/main" id="{426601AE-5A42-C568-11A4-9BDF91536DF8}"/>
                </a:ext>
              </a:extLst>
            </xdr:cNvPr>
            <xdr:cNvSpPr txBox="1"/>
          </xdr:nvSpPr>
          <xdr:spPr>
            <a:xfrm>
              <a:off x="9487669" y="5363884"/>
              <a:ext cx="1270000" cy="406402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 sz="2000" b="1" kern="1200"/>
                <a:t>4nodes</a:t>
              </a:r>
              <a:endParaRPr lang="ja-JP" altLang="en-US" sz="2000" b="1" kern="1200"/>
            </a:p>
          </xdr:txBody>
        </xdr:sp>
        <xdr:sp macro="" textlink="">
          <xdr:nvSpPr>
            <xdr:cNvPr id="8" name="テキスト ボックス 1">
              <a:extLst>
                <a:ext uri="{FF2B5EF4-FFF2-40B4-BE49-F238E27FC236}">
                  <a16:creationId xmlns:a16="http://schemas.microsoft.com/office/drawing/2014/main" id="{C3AF26E8-7367-D703-3C79-1B8D5BC0BFAF}"/>
                </a:ext>
              </a:extLst>
            </xdr:cNvPr>
            <xdr:cNvSpPr txBox="1"/>
          </xdr:nvSpPr>
          <xdr:spPr>
            <a:xfrm>
              <a:off x="13098473" y="5380818"/>
              <a:ext cx="1270000" cy="406402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 sz="2000" b="1" kern="1200"/>
                <a:t>8nodes</a:t>
              </a:r>
              <a:endParaRPr lang="ja-JP" altLang="en-US" sz="2000" b="1" kern="1200"/>
            </a:p>
          </xdr:txBody>
        </xdr:sp>
      </xdr:grpSp>
    </xdr:grpSp>
    <xdr:clientData/>
  </xdr:twoCellAnchor>
  <xdr:twoCellAnchor>
    <xdr:from>
      <xdr:col>1</xdr:col>
      <xdr:colOff>418353</xdr:colOff>
      <xdr:row>14</xdr:row>
      <xdr:rowOff>209177</xdr:rowOff>
    </xdr:from>
    <xdr:to>
      <xdr:col>7</xdr:col>
      <xdr:colOff>298824</xdr:colOff>
      <xdr:row>35</xdr:row>
      <xdr:rowOff>213659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346DB37-0A21-0F75-CEE5-855A79719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190500</xdr:rowOff>
    </xdr:from>
    <xdr:to>
      <xdr:col>19</xdr:col>
      <xdr:colOff>419100</xdr:colOff>
      <xdr:row>34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4887417-B6A7-8164-88DF-33795605E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0.1976</cdr:x>
      <cdr:y>0.86649</cdr:y>
    </cdr:from>
    <cdr:to>
      <cdr:x>0.90899</cdr:x>
      <cdr:y>0.95349</cdr:y>
    </cdr:to>
    <cdr:grpSp>
      <cdr:nvGrpSpPr>
        <cdr:cNvPr id="5" name="グループ化 4">
          <a:extLst xmlns:a="http://schemas.openxmlformats.org/drawingml/2006/main">
            <a:ext uri="{FF2B5EF4-FFF2-40B4-BE49-F238E27FC236}">
              <a16:creationId xmlns:a16="http://schemas.microsoft.com/office/drawing/2014/main" id="{E8309861-8545-069C-279B-14456D6DEA57}"/>
            </a:ext>
          </a:extLst>
        </cdr:cNvPr>
        <cdr:cNvGrpSpPr/>
      </cdr:nvGrpSpPr>
      <cdr:grpSpPr>
        <a:xfrm xmlns:a="http://schemas.openxmlformats.org/drawingml/2006/main">
          <a:off x="2717810" y="4258712"/>
          <a:ext cx="9784529" cy="427596"/>
          <a:chOff x="2717800" y="4258734"/>
          <a:chExt cx="9784521" cy="427568"/>
        </a:xfrm>
      </cdr:grpSpPr>
      <cdr:sp macro="" textlink="">
        <cdr:nvSpPr>
          <cdr:cNvPr id="2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E733E748-3D00-7DD9-012C-8EEDE6D9CD4E}"/>
              </a:ext>
            </a:extLst>
          </cdr:cNvPr>
          <cdr:cNvSpPr txBox="1"/>
        </cdr:nvSpPr>
        <cdr:spPr>
          <a:xfrm xmlns:a="http://schemas.openxmlformats.org/drawingml/2006/main">
            <a:off x="2717800" y="4260973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2nodes</a:t>
            </a:r>
            <a:endParaRPr lang="ja-JP" altLang="en-US" sz="2000" b="1" kern="1200"/>
          </a:p>
        </cdr:txBody>
      </cdr:sp>
      <cdr:sp macro="" textlink="">
        <cdr:nvSpPr>
          <cdr:cNvPr id="3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426601AE-5A42-C568-11A4-9BDF91536DF8}"/>
              </a:ext>
            </a:extLst>
          </cdr:cNvPr>
          <cdr:cNvSpPr txBox="1"/>
        </cdr:nvSpPr>
        <cdr:spPr>
          <a:xfrm xmlns:a="http://schemas.openxmlformats.org/drawingml/2006/main">
            <a:off x="6897617" y="4279900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4nodes</a:t>
            </a:r>
            <a:endParaRPr lang="ja-JP" altLang="en-US" sz="2000" b="1" kern="1200"/>
          </a:p>
        </cdr:txBody>
      </cdr:sp>
      <cdr:sp macro="" textlink="">
        <cdr:nvSpPr>
          <cdr:cNvPr id="4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C3AF26E8-7367-D703-3C79-1B8D5BC0BFAF}"/>
              </a:ext>
            </a:extLst>
          </cdr:cNvPr>
          <cdr:cNvSpPr txBox="1"/>
        </cdr:nvSpPr>
        <cdr:spPr>
          <a:xfrm xmlns:a="http://schemas.openxmlformats.org/drawingml/2006/main">
            <a:off x="11232321" y="4258734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8nodes</a:t>
            </a:r>
            <a:endParaRPr lang="ja-JP" altLang="en-US" sz="2000" b="1" kern="1200"/>
          </a:p>
        </cdr:txBody>
      </cdr:sp>
    </cdr:grp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1828800</xdr:colOff>
      <xdr:row>54</xdr:row>
      <xdr:rowOff>228600</xdr:rowOff>
    </xdr:from>
    <xdr:to>
      <xdr:col>20</xdr:col>
      <xdr:colOff>927100</xdr:colOff>
      <xdr:row>83</xdr:row>
      <xdr:rowOff>228600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C0B9DBC5-1ED1-2FC3-D163-ABA43D7CC103}"/>
            </a:ext>
          </a:extLst>
        </xdr:cNvPr>
        <xdr:cNvGrpSpPr/>
      </xdr:nvGrpSpPr>
      <xdr:grpSpPr>
        <a:xfrm>
          <a:off x="17001067" y="13944600"/>
          <a:ext cx="12628033" cy="7366000"/>
          <a:chOff x="6121400" y="3390900"/>
          <a:chExt cx="9817100" cy="5295900"/>
        </a:xfrm>
      </xdr:grpSpPr>
      <xdr:graphicFrame macro="">
        <xdr:nvGraphicFramePr>
          <xdr:cNvPr id="7" name="グラフ 6">
            <a:extLst>
              <a:ext uri="{FF2B5EF4-FFF2-40B4-BE49-F238E27FC236}">
                <a16:creationId xmlns:a16="http://schemas.microsoft.com/office/drawing/2014/main" id="{F7AF7285-962C-26A0-185A-F213A485E406}"/>
              </a:ext>
            </a:extLst>
          </xdr:cNvPr>
          <xdr:cNvGraphicFramePr/>
        </xdr:nvGraphicFramePr>
        <xdr:xfrm>
          <a:off x="6121400" y="3390900"/>
          <a:ext cx="9817100" cy="5295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テキスト ボックス 1">
            <a:extLst>
              <a:ext uri="{FF2B5EF4-FFF2-40B4-BE49-F238E27FC236}">
                <a16:creationId xmlns:a16="http://schemas.microsoft.com/office/drawing/2014/main" id="{20F579EA-29AB-8480-6C23-0AACA4BA3AD6}"/>
              </a:ext>
            </a:extLst>
          </xdr:cNvPr>
          <xdr:cNvSpPr txBox="1"/>
        </xdr:nvSpPr>
        <xdr:spPr>
          <a:xfrm>
            <a:off x="8788400" y="8039100"/>
            <a:ext cx="1981203" cy="64185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000" b="1" kern="1200"/>
              <a:t>2nodes</a:t>
            </a:r>
            <a:endParaRPr lang="ja-JP" altLang="en-US" sz="2000" b="1" kern="1200"/>
          </a:p>
        </xdr:txBody>
      </xdr:sp>
      <xdr:sp macro="" textlink="">
        <xdr:nvSpPr>
          <xdr:cNvPr id="9" name="テキスト ボックス 1">
            <a:extLst>
              <a:ext uri="{FF2B5EF4-FFF2-40B4-BE49-F238E27FC236}">
                <a16:creationId xmlns:a16="http://schemas.microsoft.com/office/drawing/2014/main" id="{ED59A7F8-AE30-27D4-A3CC-32D30636DBF7}"/>
              </a:ext>
            </a:extLst>
          </xdr:cNvPr>
          <xdr:cNvSpPr txBox="1"/>
        </xdr:nvSpPr>
        <xdr:spPr>
          <a:xfrm>
            <a:off x="13269300" y="8026400"/>
            <a:ext cx="1981203" cy="64185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000" b="1" kern="1200"/>
              <a:t>4nodes</a:t>
            </a:r>
            <a:endParaRPr lang="ja-JP" altLang="en-US" sz="2000" b="1" kern="1200"/>
          </a:p>
        </xdr:txBody>
      </xdr:sp>
    </xdr:grpSp>
    <xdr:clientData/>
  </xdr:twoCellAnchor>
  <xdr:twoCellAnchor>
    <xdr:from>
      <xdr:col>8</xdr:col>
      <xdr:colOff>1765300</xdr:colOff>
      <xdr:row>25</xdr:row>
      <xdr:rowOff>228600</xdr:rowOff>
    </xdr:from>
    <xdr:to>
      <xdr:col>18</xdr:col>
      <xdr:colOff>330200</xdr:colOff>
      <xdr:row>49</xdr:row>
      <xdr:rowOff>88900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6C3485A-ED81-16F2-41E1-FDD643ED5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D000-EB39-8546-A6F9-3B49B61272DE}">
  <dimension ref="A1:E2"/>
  <sheetViews>
    <sheetView workbookViewId="0">
      <selection activeCell="B2" sqref="B2"/>
    </sheetView>
  </sheetViews>
  <sheetFormatPr baseColWidth="10" defaultRowHeight="20"/>
  <cols>
    <col min="2" max="2" width="30.28515625" customWidth="1"/>
    <col min="3" max="3" width="26.42578125" customWidth="1"/>
    <col min="4" max="4" width="27.28515625" customWidth="1"/>
    <col min="5" max="5" width="34.5703125" customWidth="1"/>
    <col min="6" max="6" width="32.85546875" customWidth="1"/>
  </cols>
  <sheetData>
    <row r="1" spans="1: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0BF3-7780-0B46-BD48-8BE2E066E3CB}">
  <dimension ref="A1:H43"/>
  <sheetViews>
    <sheetView tabSelected="1" topLeftCell="A23" zoomScale="75" workbookViewId="0">
      <selection activeCell="E44" sqref="E44"/>
    </sheetView>
  </sheetViews>
  <sheetFormatPr baseColWidth="10" defaultRowHeight="20"/>
  <cols>
    <col min="2" max="2" width="31.7109375" customWidth="1"/>
    <col min="3" max="3" width="25.5703125" customWidth="1"/>
    <col min="4" max="4" width="24.42578125" customWidth="1"/>
    <col min="5" max="5" width="27.5703125" customWidth="1"/>
    <col min="6" max="6" width="28.140625" customWidth="1"/>
  </cols>
  <sheetData>
    <row r="1" spans="1:8">
      <c r="A1" t="s">
        <v>40</v>
      </c>
      <c r="B1" t="s">
        <v>0</v>
      </c>
      <c r="C1" t="s">
        <v>1</v>
      </c>
      <c r="D1" t="s">
        <v>2</v>
      </c>
      <c r="E1" t="s">
        <v>3</v>
      </c>
    </row>
    <row r="2" spans="1:8">
      <c r="A2" t="s">
        <v>4</v>
      </c>
      <c r="B2">
        <v>5624.8608000000004</v>
      </c>
      <c r="C2" s="1">
        <v>5060.4201999999996</v>
      </c>
      <c r="D2" s="1">
        <v>515.29656</v>
      </c>
      <c r="E2" s="1">
        <v>458.90771000000001</v>
      </c>
    </row>
    <row r="3" spans="1:8">
      <c r="A3" t="s">
        <v>5</v>
      </c>
      <c r="B3">
        <v>15699.045</v>
      </c>
      <c r="C3">
        <v>15118.303</v>
      </c>
      <c r="D3" s="1">
        <v>3822.7582000000002</v>
      </c>
      <c r="E3" s="1">
        <v>2775.8040000000001</v>
      </c>
    </row>
    <row r="4" spans="1:8">
      <c r="A4" t="s">
        <v>6</v>
      </c>
      <c r="B4">
        <v>18779.967000000001</v>
      </c>
      <c r="C4">
        <v>17977.436000000002</v>
      </c>
      <c r="D4" s="1">
        <v>9972.3084999999992</v>
      </c>
      <c r="E4" s="1">
        <v>6236.6351000000004</v>
      </c>
    </row>
    <row r="5" spans="1:8">
      <c r="A5" t="s">
        <v>7</v>
      </c>
      <c r="B5">
        <v>20979.945</v>
      </c>
      <c r="C5">
        <v>20599.544999999998</v>
      </c>
      <c r="D5" s="1">
        <v>15255.33</v>
      </c>
      <c r="E5" s="1">
        <v>9290.0851999999995</v>
      </c>
    </row>
    <row r="6" spans="1:8">
      <c r="A6" t="s">
        <v>8</v>
      </c>
      <c r="B6">
        <v>20975.732</v>
      </c>
      <c r="C6">
        <v>20710.399000000001</v>
      </c>
      <c r="D6" s="1">
        <v>19663.131000000001</v>
      </c>
      <c r="E6" s="1">
        <v>11267.638000000001</v>
      </c>
      <c r="F6">
        <f>1-E6/B6</f>
        <v>0.46282503990802315</v>
      </c>
    </row>
    <row r="7" spans="1:8">
      <c r="A7" t="s">
        <v>9</v>
      </c>
      <c r="B7">
        <v>20176.681</v>
      </c>
      <c r="C7">
        <v>19919.598000000002</v>
      </c>
      <c r="D7" s="1">
        <v>21176.672999999999</v>
      </c>
      <c r="E7" s="1">
        <v>12649.531000000001</v>
      </c>
    </row>
    <row r="9" spans="1:8">
      <c r="A9" t="s">
        <v>41</v>
      </c>
      <c r="B9" t="s">
        <v>0</v>
      </c>
      <c r="C9" t="s">
        <v>1</v>
      </c>
      <c r="D9" t="s">
        <v>2</v>
      </c>
      <c r="E9" t="s">
        <v>3</v>
      </c>
    </row>
    <row r="10" spans="1:8">
      <c r="A10" t="s">
        <v>4</v>
      </c>
      <c r="B10">
        <v>5418.2273999999998</v>
      </c>
      <c r="C10">
        <v>4991.1394</v>
      </c>
      <c r="D10">
        <v>594.53195000000005</v>
      </c>
      <c r="E10">
        <v>482.13216999999997</v>
      </c>
      <c r="F10">
        <f>1-E10/B10</f>
        <v>0.91101662325948152</v>
      </c>
      <c r="G10">
        <f>1-C10/B10</f>
        <v>7.8824303313662969E-2</v>
      </c>
      <c r="H10">
        <f>1-E10/D10</f>
        <v>0.18905591196570692</v>
      </c>
    </row>
    <row r="11" spans="1:8">
      <c r="A11" t="s">
        <v>5</v>
      </c>
      <c r="B11">
        <v>21121.981</v>
      </c>
      <c r="C11">
        <v>20420.144</v>
      </c>
      <c r="D11">
        <v>4347.7960999999996</v>
      </c>
      <c r="E11">
        <v>3220.1873000000001</v>
      </c>
      <c r="F11">
        <f t="shared" ref="F11:F15" si="0">1-E11/B11</f>
        <v>0.84754331044990527</v>
      </c>
      <c r="G11">
        <f t="shared" ref="G11:G15" si="1">1-C11/B11</f>
        <v>3.3227801880893582E-2</v>
      </c>
      <c r="H11">
        <f t="shared" ref="H11:H15" si="2">1-E11/D11</f>
        <v>0.2593518127494524</v>
      </c>
    </row>
    <row r="12" spans="1:8">
      <c r="A12" t="s">
        <v>6</v>
      </c>
      <c r="B12">
        <v>30642.467000000001</v>
      </c>
      <c r="C12">
        <v>29674.716</v>
      </c>
      <c r="D12">
        <v>11880.457</v>
      </c>
      <c r="E12">
        <v>8538.6028000000006</v>
      </c>
      <c r="F12">
        <f t="shared" si="0"/>
        <v>0.72134740978916612</v>
      </c>
      <c r="G12">
        <f t="shared" si="1"/>
        <v>3.1582019815832751E-2</v>
      </c>
      <c r="H12">
        <f t="shared" si="2"/>
        <v>0.28129003791689156</v>
      </c>
    </row>
    <row r="13" spans="1:8">
      <c r="A13" t="s">
        <v>7</v>
      </c>
      <c r="B13">
        <v>35584.966</v>
      </c>
      <c r="C13">
        <v>34855.398999999998</v>
      </c>
      <c r="D13">
        <v>21084.585999999999</v>
      </c>
      <c r="E13">
        <v>13349.763999999999</v>
      </c>
      <c r="F13">
        <f t="shared" si="0"/>
        <v>0.62484820134435426</v>
      </c>
      <c r="G13">
        <f t="shared" si="1"/>
        <v>2.0502113167678804E-2</v>
      </c>
      <c r="H13">
        <f t="shared" si="2"/>
        <v>0.36684723143247866</v>
      </c>
    </row>
    <row r="14" spans="1:8">
      <c r="A14" t="s">
        <v>8</v>
      </c>
      <c r="B14">
        <v>37600.175000000003</v>
      </c>
      <c r="C14">
        <v>37267.324999999997</v>
      </c>
      <c r="D14">
        <v>28797.251</v>
      </c>
      <c r="E14">
        <v>19210.503000000001</v>
      </c>
      <c r="F14">
        <f>1-E14/B14</f>
        <v>0.48908474495132004</v>
      </c>
      <c r="G14">
        <f t="shared" si="1"/>
        <v>8.8523524159130895E-3</v>
      </c>
      <c r="H14">
        <f t="shared" si="2"/>
        <v>0.33290497068626446</v>
      </c>
    </row>
    <row r="15" spans="1:8">
      <c r="A15" t="s">
        <v>9</v>
      </c>
      <c r="B15">
        <v>37387.337</v>
      </c>
      <c r="C15">
        <v>36867.728000000003</v>
      </c>
      <c r="D15">
        <v>33854.976000000002</v>
      </c>
      <c r="E15">
        <v>20424.334999999999</v>
      </c>
      <c r="F15">
        <f t="shared" si="0"/>
        <v>0.45370982159012829</v>
      </c>
      <c r="G15">
        <f t="shared" si="1"/>
        <v>1.3897994393128221E-2</v>
      </c>
      <c r="H15">
        <f t="shared" si="2"/>
        <v>0.39671098865939236</v>
      </c>
    </row>
    <row r="17" spans="1:6">
      <c r="A17" t="s">
        <v>42</v>
      </c>
      <c r="B17" t="s">
        <v>0</v>
      </c>
      <c r="C17" t="s">
        <v>1</v>
      </c>
      <c r="D17" t="s">
        <v>2</v>
      </c>
      <c r="E17" t="s">
        <v>3</v>
      </c>
    </row>
    <row r="18" spans="1:6">
      <c r="A18" t="s">
        <v>4</v>
      </c>
      <c r="B18" s="1">
        <v>3719.0635000000002</v>
      </c>
      <c r="C18" s="1">
        <v>3591.8901000000001</v>
      </c>
      <c r="D18" s="1">
        <v>437.13639000000001</v>
      </c>
      <c r="E18" s="1">
        <v>358.32046000000003</v>
      </c>
    </row>
    <row r="19" spans="1:6">
      <c r="A19" t="s">
        <v>5</v>
      </c>
      <c r="B19" s="1">
        <v>16212.142</v>
      </c>
      <c r="C19" s="1">
        <v>15776.048000000001</v>
      </c>
      <c r="D19" s="1">
        <v>2456.152</v>
      </c>
      <c r="E19" s="1">
        <v>3433.8227999999999</v>
      </c>
    </row>
    <row r="20" spans="1:6">
      <c r="A20" t="s">
        <v>6</v>
      </c>
      <c r="B20" s="1">
        <v>27820.195</v>
      </c>
      <c r="C20" s="1">
        <v>26446.14</v>
      </c>
      <c r="D20" s="1">
        <v>11419.18</v>
      </c>
      <c r="E20" s="1">
        <v>9365.2703999999994</v>
      </c>
    </row>
    <row r="21" spans="1:6">
      <c r="A21" t="s">
        <v>7</v>
      </c>
      <c r="B21" s="1">
        <v>38336.667999999998</v>
      </c>
      <c r="C21" s="1">
        <v>37519.491999999998</v>
      </c>
      <c r="D21" s="1">
        <v>21382.6</v>
      </c>
      <c r="E21" s="1">
        <v>14998.985000000001</v>
      </c>
    </row>
    <row r="22" spans="1:6">
      <c r="A22" t="s">
        <v>8</v>
      </c>
      <c r="B22" s="1">
        <v>43164.962</v>
      </c>
      <c r="C22" s="1">
        <v>41001.682000000001</v>
      </c>
      <c r="D22" s="1">
        <v>31522.866000000002</v>
      </c>
      <c r="E22" s="1">
        <v>22658.851999999999</v>
      </c>
      <c r="F22">
        <f>1-E22/B22</f>
        <v>0.47506377973876124</v>
      </c>
    </row>
    <row r="23" spans="1:6">
      <c r="A23" t="s">
        <v>9</v>
      </c>
      <c r="B23" s="1">
        <v>43563.91</v>
      </c>
      <c r="C23" s="1">
        <v>43092.635999999999</v>
      </c>
      <c r="D23" s="1">
        <v>37562.146000000001</v>
      </c>
      <c r="E23" s="1">
        <v>25389.52</v>
      </c>
    </row>
    <row r="26" spans="1:6">
      <c r="B26">
        <f>B15/B7</f>
        <v>1.852997378508388</v>
      </c>
      <c r="E26">
        <f>E23/E7</f>
        <v>2.0071510951670857</v>
      </c>
    </row>
    <row r="27" spans="1:6">
      <c r="B27">
        <f>B23/B7</f>
        <v>2.1591217108502634</v>
      </c>
      <c r="E27">
        <f>E15/E7</f>
        <v>1.6146317993924042</v>
      </c>
    </row>
    <row r="28" spans="1:6">
      <c r="B28">
        <v>1.85</v>
      </c>
    </row>
    <row r="33" spans="1:6">
      <c r="B33">
        <f>B22/B6</f>
        <v>2.0578524744690672</v>
      </c>
      <c r="E33">
        <f>E22/E6</f>
        <v>2.0109673384963198</v>
      </c>
    </row>
    <row r="34" spans="1:6">
      <c r="A34" t="s">
        <v>44</v>
      </c>
    </row>
    <row r="35" spans="1:6">
      <c r="A35" t="s">
        <v>40</v>
      </c>
      <c r="B35">
        <v>20975.732</v>
      </c>
      <c r="C35">
        <v>20710.399000000001</v>
      </c>
      <c r="D35" s="1">
        <v>19663.131000000001</v>
      </c>
      <c r="E35" s="1">
        <v>11267.638000000001</v>
      </c>
      <c r="F35" s="1"/>
    </row>
    <row r="36" spans="1:6">
      <c r="A36" t="s">
        <v>41</v>
      </c>
      <c r="B36">
        <v>37600.175000000003</v>
      </c>
      <c r="C36">
        <v>37267.324999999997</v>
      </c>
      <c r="D36">
        <v>28797.251</v>
      </c>
      <c r="E36">
        <v>19210.503000000001</v>
      </c>
    </row>
    <row r="37" spans="1:6">
      <c r="A37" t="s">
        <v>42</v>
      </c>
      <c r="B37" s="1">
        <v>43164.962</v>
      </c>
      <c r="C37" s="1">
        <v>41001.682000000001</v>
      </c>
      <c r="D37" s="1">
        <v>31522.866000000002</v>
      </c>
      <c r="E37" s="1">
        <v>22658.851999999999</v>
      </c>
    </row>
    <row r="39" spans="1:6">
      <c r="A39" t="s">
        <v>45</v>
      </c>
    </row>
    <row r="40" spans="1:6">
      <c r="B40">
        <f>B35/E35</f>
        <v>1.8615908675802328</v>
      </c>
      <c r="C40">
        <f>C35/E35</f>
        <v>1.8380426314725411</v>
      </c>
      <c r="D40">
        <f>D35/E35</f>
        <v>1.7450978634563872</v>
      </c>
      <c r="E40">
        <f>E35/E35</f>
        <v>1</v>
      </c>
    </row>
    <row r="41" spans="1:6">
      <c r="B41">
        <f>B36/E35</f>
        <v>3.3370059457004211</v>
      </c>
      <c r="C41">
        <f>C36/E35</f>
        <v>3.3074655930550834</v>
      </c>
      <c r="D41">
        <f>D36/E35</f>
        <v>2.5557486848619027</v>
      </c>
      <c r="E41">
        <f>E36/E35</f>
        <v>1.704927243846492</v>
      </c>
    </row>
    <row r="42" spans="1:6">
      <c r="B42">
        <f>B37/E35</f>
        <v>3.8308793732990001</v>
      </c>
      <c r="C42">
        <f>C37/E35</f>
        <v>3.6388888247918505</v>
      </c>
      <c r="D42">
        <f>D37/E35</f>
        <v>2.7976463212609421</v>
      </c>
      <c r="E42">
        <f>E37/E35</f>
        <v>2.0109673384963198</v>
      </c>
    </row>
    <row r="43" spans="1:6">
      <c r="B43">
        <f>B42/B40</f>
        <v>2.0578524744690672</v>
      </c>
      <c r="E43">
        <f>E42/E40</f>
        <v>2.0109673384963198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2183-B579-2743-A7F1-3466D4A851C7}">
  <dimension ref="A1:G44"/>
  <sheetViews>
    <sheetView topLeftCell="A7" zoomScale="85" workbookViewId="0">
      <selection activeCell="B45" sqref="B45"/>
    </sheetView>
  </sheetViews>
  <sheetFormatPr baseColWidth="10" defaultRowHeight="20"/>
  <cols>
    <col min="1" max="1" width="23.42578125" customWidth="1"/>
    <col min="2" max="2" width="23.28515625" customWidth="1"/>
    <col min="3" max="3" width="22" customWidth="1"/>
    <col min="4" max="4" width="19.85546875" customWidth="1"/>
    <col min="5" max="5" width="29" customWidth="1"/>
    <col min="6" max="6" width="20.28515625" customWidth="1"/>
  </cols>
  <sheetData>
    <row r="1" spans="1:7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19</v>
      </c>
    </row>
    <row r="2" spans="1:7">
      <c r="A2" t="s">
        <v>13</v>
      </c>
      <c r="B2">
        <v>14.16287</v>
      </c>
      <c r="C2">
        <v>14.68962</v>
      </c>
      <c r="D2">
        <v>19.613350000000001</v>
      </c>
      <c r="E2">
        <v>28.37274</v>
      </c>
    </row>
    <row r="3" spans="1:7">
      <c r="A3" t="s">
        <v>14</v>
      </c>
      <c r="B3">
        <v>14.31396</v>
      </c>
      <c r="C3">
        <v>14.250859999999999</v>
      </c>
      <c r="D3">
        <v>19.465399999999999</v>
      </c>
      <c r="E3">
        <v>28.348870000000002</v>
      </c>
    </row>
    <row r="4" spans="1:7">
      <c r="A4" t="s">
        <v>15</v>
      </c>
      <c r="B4">
        <v>14.192640000000001</v>
      </c>
      <c r="C4">
        <v>14.397740000000001</v>
      </c>
      <c r="D4">
        <v>19.45636</v>
      </c>
      <c r="E4">
        <v>28.125540000000001</v>
      </c>
    </row>
    <row r="5" spans="1:7">
      <c r="A5" t="s">
        <v>16</v>
      </c>
      <c r="B5">
        <v>14.232060000000001</v>
      </c>
      <c r="C5">
        <v>14.074109999999999</v>
      </c>
      <c r="D5">
        <v>19.44303</v>
      </c>
      <c r="E5">
        <v>28.211559999999999</v>
      </c>
    </row>
    <row r="6" spans="1:7">
      <c r="A6" t="s">
        <v>17</v>
      </c>
      <c r="C6">
        <v>14.31316</v>
      </c>
      <c r="D6">
        <v>19.411000000000001</v>
      </c>
      <c r="E6">
        <v>28.130140000000001</v>
      </c>
    </row>
    <row r="7" spans="1:7">
      <c r="A7" t="s">
        <v>18</v>
      </c>
      <c r="B7">
        <f>AVERAGE(B2:B6)</f>
        <v>14.225382500000002</v>
      </c>
      <c r="C7">
        <f t="shared" ref="C7:E7" si="0">AVERAGE(C2:C6)</f>
        <v>14.345097999999998</v>
      </c>
      <c r="D7">
        <f t="shared" si="0"/>
        <v>19.477827999999999</v>
      </c>
      <c r="E7">
        <f t="shared" si="0"/>
        <v>28.237770000000001</v>
      </c>
      <c r="F7">
        <f>1-B7/E7</f>
        <v>0.49622854425119256</v>
      </c>
      <c r="G7">
        <f>E7/B7</f>
        <v>1.985027116142571</v>
      </c>
    </row>
    <row r="8" spans="1:7">
      <c r="A8" t="s">
        <v>21</v>
      </c>
      <c r="B8">
        <f>B7/B7</f>
        <v>1</v>
      </c>
      <c r="C8">
        <f>C7/B7</f>
        <v>1.0084156260824619</v>
      </c>
      <c r="D8">
        <f t="shared" ref="D8:E8" si="1">D7/C7</f>
        <v>1.3578037598627768</v>
      </c>
      <c r="E8">
        <f t="shared" si="1"/>
        <v>1.4497391598282932</v>
      </c>
    </row>
    <row r="10" spans="1:7">
      <c r="A10" t="s">
        <v>11</v>
      </c>
      <c r="B10" t="s">
        <v>0</v>
      </c>
      <c r="C10" t="s">
        <v>1</v>
      </c>
      <c r="D10" t="s">
        <v>2</v>
      </c>
      <c r="E10" t="s">
        <v>3</v>
      </c>
    </row>
    <row r="11" spans="1:7">
      <c r="A11" t="s">
        <v>13</v>
      </c>
      <c r="B11">
        <v>7.0149980000000003</v>
      </c>
      <c r="C11">
        <v>7.3024519999999997</v>
      </c>
      <c r="D11">
        <v>11.613630000000001</v>
      </c>
      <c r="E11">
        <v>20.981999999999999</v>
      </c>
    </row>
    <row r="12" spans="1:7">
      <c r="A12" t="s">
        <v>14</v>
      </c>
      <c r="B12">
        <v>7.9112039999999997</v>
      </c>
      <c r="C12">
        <v>7.3257510000000003</v>
      </c>
      <c r="D12">
        <v>11.639849999999999</v>
      </c>
      <c r="E12">
        <v>20.62595</v>
      </c>
    </row>
    <row r="13" spans="1:7">
      <c r="A13" t="s">
        <v>15</v>
      </c>
      <c r="B13">
        <v>7.1713050000000003</v>
      </c>
      <c r="C13">
        <v>7.2629049999999999</v>
      </c>
      <c r="D13">
        <v>11.943110000000001</v>
      </c>
      <c r="E13">
        <v>20.62379</v>
      </c>
    </row>
    <row r="14" spans="1:7">
      <c r="A14" t="s">
        <v>16</v>
      </c>
      <c r="B14">
        <v>7.1939359999999999</v>
      </c>
      <c r="C14">
        <v>7.288373</v>
      </c>
      <c r="D14">
        <v>11.617710000000001</v>
      </c>
      <c r="E14">
        <v>20.489879999999999</v>
      </c>
    </row>
    <row r="15" spans="1:7">
      <c r="A15" t="s">
        <v>17</v>
      </c>
      <c r="B15">
        <v>7.2807750000000002</v>
      </c>
      <c r="C15">
        <v>7.2964640000000003</v>
      </c>
      <c r="D15">
        <v>11.5497</v>
      </c>
      <c r="E15">
        <v>20.69642</v>
      </c>
    </row>
    <row r="16" spans="1:7">
      <c r="A16" t="s">
        <v>18</v>
      </c>
      <c r="B16">
        <f>AVERAGE(B11:B15)</f>
        <v>7.3144435999999997</v>
      </c>
      <c r="C16">
        <f t="shared" ref="C16" si="2">AVERAGE(C11:C15)</f>
        <v>7.2951889999999988</v>
      </c>
      <c r="D16">
        <f t="shared" ref="D16" si="3">AVERAGE(D11:D15)</f>
        <v>11.672800000000001</v>
      </c>
      <c r="E16">
        <f t="shared" ref="E16" si="4">AVERAGE(E11:E15)</f>
        <v>20.683608</v>
      </c>
      <c r="F16">
        <f t="shared" ref="F16:F26" si="5">1-B16/E16</f>
        <v>0.6463651989536835</v>
      </c>
      <c r="G16">
        <f>E16/B16</f>
        <v>2.8277759910541933</v>
      </c>
    </row>
    <row r="17" spans="1:7">
      <c r="A17" t="s">
        <v>20</v>
      </c>
      <c r="B17">
        <f>B16/B16</f>
        <v>1</v>
      </c>
      <c r="C17">
        <f>C16/B16</f>
        <v>0.99736759197924485</v>
      </c>
      <c r="D17">
        <f t="shared" ref="D17" si="6">D16/C16</f>
        <v>1.6000682093363177</v>
      </c>
      <c r="E17">
        <f t="shared" ref="E17" si="7">E16/D16</f>
        <v>1.771949146734288</v>
      </c>
    </row>
    <row r="20" spans="1:7">
      <c r="A20" t="s">
        <v>12</v>
      </c>
      <c r="B20" t="s">
        <v>0</v>
      </c>
      <c r="C20" t="s">
        <v>1</v>
      </c>
      <c r="D20" t="s">
        <v>2</v>
      </c>
      <c r="E20" t="s">
        <v>3</v>
      </c>
    </row>
    <row r="21" spans="1:7">
      <c r="A21" t="s">
        <v>13</v>
      </c>
      <c r="B21">
        <v>4.3380219999999996</v>
      </c>
      <c r="C21">
        <v>4.5107689999999998</v>
      </c>
      <c r="D21">
        <v>8.0471939999999993</v>
      </c>
      <c r="E21">
        <v>17.145579999999999</v>
      </c>
    </row>
    <row r="22" spans="1:7">
      <c r="A22" t="s">
        <v>14</v>
      </c>
      <c r="B22">
        <v>4.3100529999999999</v>
      </c>
      <c r="C22">
        <v>4.4431229999999999</v>
      </c>
      <c r="D22">
        <v>8.0378670000000003</v>
      </c>
      <c r="E22">
        <v>17.303840000000001</v>
      </c>
    </row>
    <row r="23" spans="1:7">
      <c r="A23" t="s">
        <v>15</v>
      </c>
      <c r="B23">
        <v>4.3275569999999997</v>
      </c>
      <c r="C23">
        <v>4.4455590000000003</v>
      </c>
      <c r="D23">
        <v>8.0101420000000001</v>
      </c>
      <c r="E23">
        <v>17.138780000000001</v>
      </c>
    </row>
    <row r="24" spans="1:7">
      <c r="A24" t="s">
        <v>16</v>
      </c>
      <c r="B24">
        <v>4.3352430000000002</v>
      </c>
      <c r="C24">
        <v>4.4529310000000004</v>
      </c>
      <c r="D24">
        <v>8.0194150000000004</v>
      </c>
      <c r="E24">
        <v>17.047999999999998</v>
      </c>
    </row>
    <row r="25" spans="1:7">
      <c r="A25" t="s">
        <v>17</v>
      </c>
      <c r="B25">
        <v>4.3029520000000003</v>
      </c>
      <c r="C25">
        <v>4.4435840000000004</v>
      </c>
      <c r="D25">
        <v>8.1196280000000005</v>
      </c>
      <c r="E25">
        <v>17.074159999999999</v>
      </c>
    </row>
    <row r="26" spans="1:7">
      <c r="A26" t="s">
        <v>18</v>
      </c>
      <c r="B26">
        <f>AVERAGE(B21:B25)</f>
        <v>4.3227653999999998</v>
      </c>
      <c r="C26">
        <f t="shared" ref="C26" si="8">AVERAGE(C21:C25)</f>
        <v>4.4591931999999996</v>
      </c>
      <c r="D26">
        <f t="shared" ref="D26" si="9">AVERAGE(D21:D25)</f>
        <v>8.0468492000000005</v>
      </c>
      <c r="E26">
        <f t="shared" ref="E26" si="10">AVERAGE(E21:E25)</f>
        <v>17.142072000000002</v>
      </c>
      <c r="F26">
        <f t="shared" si="5"/>
        <v>0.74782713548280522</v>
      </c>
      <c r="G26">
        <f>E26/B26</f>
        <v>3.965533729866535</v>
      </c>
    </row>
    <row r="27" spans="1:7">
      <c r="A27" t="s">
        <v>20</v>
      </c>
      <c r="B27">
        <f>B26/B26</f>
        <v>1</v>
      </c>
      <c r="C27">
        <f>C26/B26</f>
        <v>1.0315603062798642</v>
      </c>
      <c r="D27">
        <f t="shared" ref="D27" si="11">D26/C26</f>
        <v>1.804552715948706</v>
      </c>
      <c r="E27">
        <f t="shared" ref="E27" si="12">E26/D26</f>
        <v>2.1302837388825431</v>
      </c>
    </row>
    <row r="29" spans="1:7">
      <c r="B29">
        <f>1-(B26/B7)</f>
        <v>0.69612308140044754</v>
      </c>
      <c r="C29">
        <f t="shared" ref="C29:E29" si="13">1-(C26/C7)</f>
        <v>0.689148641577771</v>
      </c>
      <c r="D29">
        <f t="shared" si="13"/>
        <v>0.58687132877444026</v>
      </c>
      <c r="E29">
        <f t="shared" si="13"/>
        <v>0.39293818173318917</v>
      </c>
    </row>
    <row r="31" spans="1:7">
      <c r="B31">
        <f>B7/B16</f>
        <v>1.944834532595207</v>
      </c>
      <c r="E31">
        <f>E7/E16</f>
        <v>1.365224577839611</v>
      </c>
    </row>
    <row r="32" spans="1:7">
      <c r="B32">
        <f>B7/B26</f>
        <v>3.2908060428169437</v>
      </c>
      <c r="E32">
        <f>E7/E26</f>
        <v>1.6472786953642475</v>
      </c>
    </row>
    <row r="35" spans="1:5">
      <c r="B35">
        <f>1-B16/B7</f>
        <v>0.48581743935532151</v>
      </c>
      <c r="E35">
        <f>1-E16/E7</f>
        <v>0.26751977935934745</v>
      </c>
    </row>
    <row r="36" spans="1:5">
      <c r="B36">
        <f>1-B26/B7</f>
        <v>0.69612308140044754</v>
      </c>
      <c r="E36">
        <f>1-E26/E7</f>
        <v>0.39293818173318917</v>
      </c>
    </row>
    <row r="38" spans="1:5">
      <c r="B38">
        <f>B7/B26</f>
        <v>3.2908060428169437</v>
      </c>
      <c r="C38">
        <f t="shared" ref="C38:E38" si="14">C7/C26</f>
        <v>3.216971626167711</v>
      </c>
      <c r="D38">
        <f t="shared" si="14"/>
        <v>2.4205533763451164</v>
      </c>
      <c r="E38">
        <f t="shared" si="14"/>
        <v>1.6472786953642475</v>
      </c>
    </row>
    <row r="40" spans="1:5">
      <c r="A40" t="s">
        <v>43</v>
      </c>
    </row>
    <row r="41" spans="1:5">
      <c r="A41" t="s">
        <v>40</v>
      </c>
      <c r="B41">
        <f>E7/B7</f>
        <v>1.985027116142571</v>
      </c>
      <c r="C41">
        <f>E7/C7</f>
        <v>1.9684612820351597</v>
      </c>
      <c r="D41">
        <f>E7/D7</f>
        <v>1.4497391598282932</v>
      </c>
      <c r="E41">
        <f>E7/E7</f>
        <v>1</v>
      </c>
    </row>
    <row r="42" spans="1:5">
      <c r="A42" t="s">
        <v>41</v>
      </c>
      <c r="B42">
        <f>E7/B16</f>
        <v>3.8605492836119484</v>
      </c>
      <c r="C42">
        <f>E7/C16</f>
        <v>3.8707386470727498</v>
      </c>
      <c r="D42">
        <f>E7/D16</f>
        <v>2.4191085258035776</v>
      </c>
      <c r="E42">
        <f>E7/E16</f>
        <v>1.365224577839611</v>
      </c>
    </row>
    <row r="43" spans="1:5">
      <c r="A43" t="s">
        <v>42</v>
      </c>
      <c r="B43">
        <f>E7/B26</f>
        <v>6.532339228957464</v>
      </c>
      <c r="C43">
        <f>E7/C26</f>
        <v>6.3324840915168252</v>
      </c>
      <c r="D43">
        <f>E7/D26</f>
        <v>3.5091710181421072</v>
      </c>
      <c r="E43">
        <f>E7/E26</f>
        <v>1.6472786953642475</v>
      </c>
    </row>
    <row r="44" spans="1:5">
      <c r="B44">
        <f>B43/B41</f>
        <v>3.2908060428169437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4BE6-99EB-B049-B0A6-A131DA1EE347}">
  <dimension ref="A1:E24"/>
  <sheetViews>
    <sheetView workbookViewId="0">
      <selection activeCell="B4" sqref="B4"/>
    </sheetView>
  </sheetViews>
  <sheetFormatPr baseColWidth="10" defaultRowHeight="20"/>
  <cols>
    <col min="1" max="1" width="21.5703125" customWidth="1"/>
    <col min="2" max="2" width="28.140625" customWidth="1"/>
    <col min="3" max="3" width="21.85546875" customWidth="1"/>
    <col min="4" max="4" width="24.140625" customWidth="1"/>
    <col min="5" max="5" width="23.85546875" customWidth="1"/>
  </cols>
  <sheetData>
    <row r="1" spans="1: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13</v>
      </c>
      <c r="B2" s="2">
        <v>202.82772</v>
      </c>
      <c r="C2" s="2">
        <v>212.55124000000001</v>
      </c>
      <c r="D2" s="2">
        <v>249.3</v>
      </c>
      <c r="E2" s="2">
        <v>202.43186299999999</v>
      </c>
    </row>
    <row r="3" spans="1:5">
      <c r="D3" s="2">
        <v>229.8</v>
      </c>
      <c r="E3" s="2">
        <v>199.296571</v>
      </c>
    </row>
    <row r="4" spans="1:5">
      <c r="D4">
        <v>203</v>
      </c>
    </row>
    <row r="10" spans="1:5">
      <c r="A10" t="s">
        <v>11</v>
      </c>
      <c r="B10" t="s">
        <v>0</v>
      </c>
      <c r="C10" t="s">
        <v>1</v>
      </c>
      <c r="D10" t="s">
        <v>2</v>
      </c>
      <c r="E10" t="s">
        <v>3</v>
      </c>
    </row>
    <row r="11" spans="1:5">
      <c r="A11" t="s">
        <v>13</v>
      </c>
      <c r="B11" s="2">
        <v>196.47213099999999</v>
      </c>
      <c r="C11" s="2">
        <v>173.82131000000001</v>
      </c>
      <c r="D11" s="2">
        <v>198.79543799999999</v>
      </c>
      <c r="E11" s="2">
        <v>163.93255500000001</v>
      </c>
    </row>
    <row r="12" spans="1:5">
      <c r="D12" s="2">
        <v>178.222846</v>
      </c>
      <c r="E12" s="2">
        <v>162.739048</v>
      </c>
    </row>
    <row r="13" spans="1:5">
      <c r="D13" s="2">
        <v>159.85205300000001</v>
      </c>
    </row>
    <row r="20" spans="1:5">
      <c r="A20" t="s">
        <v>12</v>
      </c>
      <c r="B20" t="s">
        <v>0</v>
      </c>
      <c r="C20" t="s">
        <v>1</v>
      </c>
      <c r="D20" t="s">
        <v>2</v>
      </c>
      <c r="E20" t="s">
        <v>3</v>
      </c>
    </row>
    <row r="21" spans="1:5">
      <c r="A21" t="s">
        <v>13</v>
      </c>
      <c r="B21" s="2">
        <v>270.15974</v>
      </c>
      <c r="C21" s="2">
        <v>263.330444</v>
      </c>
      <c r="D21" s="2">
        <v>262.61755399999998</v>
      </c>
      <c r="E21" s="2">
        <v>229.255077</v>
      </c>
    </row>
    <row r="22" spans="1:5">
      <c r="D22" s="2">
        <v>218.24495300000001</v>
      </c>
      <c r="E22" s="2">
        <v>228.38076899999999</v>
      </c>
    </row>
    <row r="23" spans="1:5">
      <c r="D23" s="2">
        <v>238.32421600000001</v>
      </c>
    </row>
    <row r="24" spans="1:5">
      <c r="D24" s="2">
        <v>216.77056400000001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031-7878-9840-8911-D45D07BEEEE4}">
  <dimension ref="A1"/>
  <sheetViews>
    <sheetView workbookViewId="0">
      <selection activeCell="F17" sqref="F17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5F79-6A1A-2341-8FA3-EBCB9C5FE777}">
  <dimension ref="A1:L35"/>
  <sheetViews>
    <sheetView zoomScale="75" workbookViewId="0">
      <selection activeCell="F18" sqref="F18"/>
    </sheetView>
  </sheetViews>
  <sheetFormatPr baseColWidth="10" defaultRowHeight="20"/>
  <cols>
    <col min="2" max="2" width="26.7109375" customWidth="1"/>
    <col min="3" max="3" width="41.85546875" customWidth="1"/>
    <col min="4" max="4" width="22.140625" customWidth="1"/>
    <col min="5" max="5" width="28.7109375" customWidth="1"/>
    <col min="7" max="7" width="10.7109375" customWidth="1"/>
    <col min="8" max="8" width="19.28515625" customWidth="1"/>
    <col min="9" max="9" width="21.140625" customWidth="1"/>
    <col min="10" max="11" width="17.42578125" customWidth="1"/>
  </cols>
  <sheetData>
    <row r="1" spans="1:12">
      <c r="A1" t="s">
        <v>10</v>
      </c>
      <c r="B1" t="s">
        <v>0</v>
      </c>
      <c r="C1" t="s">
        <v>1</v>
      </c>
      <c r="D1" t="s">
        <v>2</v>
      </c>
      <c r="E1" t="s">
        <v>3</v>
      </c>
      <c r="G1" t="s">
        <v>11</v>
      </c>
      <c r="H1" t="s">
        <v>0</v>
      </c>
      <c r="I1" t="s">
        <v>1</v>
      </c>
      <c r="J1" t="s">
        <v>2</v>
      </c>
      <c r="K1" t="s">
        <v>3</v>
      </c>
    </row>
    <row r="2" spans="1:12">
      <c r="A2" t="s">
        <v>22</v>
      </c>
      <c r="G2" t="s">
        <v>22</v>
      </c>
    </row>
    <row r="3" spans="1:12">
      <c r="A3" t="s">
        <v>25</v>
      </c>
      <c r="G3" t="s">
        <v>25</v>
      </c>
    </row>
    <row r="4" spans="1:12">
      <c r="A4" t="s">
        <v>26</v>
      </c>
      <c r="G4" t="s">
        <v>26</v>
      </c>
    </row>
    <row r="5" spans="1:12">
      <c r="A5" t="s">
        <v>23</v>
      </c>
      <c r="G5" t="s">
        <v>23</v>
      </c>
    </row>
    <row r="6" spans="1:12">
      <c r="A6" t="s">
        <v>27</v>
      </c>
      <c r="G6" t="s">
        <v>27</v>
      </c>
    </row>
    <row r="7" spans="1:12">
      <c r="A7" t="s">
        <v>28</v>
      </c>
      <c r="G7" t="s">
        <v>28</v>
      </c>
    </row>
    <row r="8" spans="1:12">
      <c r="A8" t="s">
        <v>24</v>
      </c>
      <c r="G8" t="s">
        <v>24</v>
      </c>
    </row>
    <row r="9" spans="1:12">
      <c r="A9" t="s">
        <v>29</v>
      </c>
      <c r="G9" t="s">
        <v>29</v>
      </c>
    </row>
    <row r="10" spans="1:12">
      <c r="A10" t="s">
        <v>30</v>
      </c>
      <c r="G10" t="s">
        <v>30</v>
      </c>
    </row>
    <row r="11" spans="1:12">
      <c r="A11" t="s">
        <v>33</v>
      </c>
      <c r="B11">
        <v>2.3801700000000001E-4</v>
      </c>
      <c r="C11">
        <v>2.26795666666666E-4</v>
      </c>
      <c r="D11">
        <v>4.1623499999999999E-4</v>
      </c>
      <c r="E11">
        <v>1.22876333333333E-3</v>
      </c>
      <c r="G11" t="s">
        <v>36</v>
      </c>
      <c r="H11">
        <v>3.4949766666666598E-4</v>
      </c>
      <c r="I11">
        <v>3.5673766666666597E-4</v>
      </c>
      <c r="J11">
        <v>7.4480800000000002E-4</v>
      </c>
      <c r="K11">
        <v>2.6461166666666598E-3</v>
      </c>
      <c r="L11">
        <f>K11/H11</f>
        <v>7.5711998077240334</v>
      </c>
    </row>
    <row r="12" spans="1:12">
      <c r="A12" t="s">
        <v>34</v>
      </c>
      <c r="B12">
        <v>2.4307966666666601E-4</v>
      </c>
      <c r="C12">
        <v>2.2746733333333299E-4</v>
      </c>
      <c r="D12">
        <v>3.7603766666666601E-4</v>
      </c>
      <c r="E12">
        <v>1.2186999999999901E-3</v>
      </c>
      <c r="G12" t="s">
        <v>37</v>
      </c>
      <c r="H12">
        <v>5.82083333333333E-4</v>
      </c>
      <c r="I12">
        <v>6.0023666666666597E-4</v>
      </c>
      <c r="J12">
        <v>1.2595366666666599E-3</v>
      </c>
      <c r="K12">
        <v>3.0817599999999998E-3</v>
      </c>
      <c r="L12">
        <f>K12/H12</f>
        <v>5.2943622047244121</v>
      </c>
    </row>
    <row r="13" spans="1:12">
      <c r="A13" t="s">
        <v>35</v>
      </c>
      <c r="B13">
        <v>1.5360100000000001E-4</v>
      </c>
      <c r="C13">
        <v>2.3366199999999999E-4</v>
      </c>
      <c r="D13">
        <v>3.7509566666666598E-4</v>
      </c>
      <c r="E13">
        <v>1.21260666666666E-3</v>
      </c>
      <c r="G13" t="s">
        <v>35</v>
      </c>
      <c r="H13">
        <v>1.01298466666666E-3</v>
      </c>
      <c r="I13">
        <v>1.3149966666666669E-3</v>
      </c>
      <c r="J13">
        <v>2.4010033333333302E-3</v>
      </c>
      <c r="K13">
        <v>6.7852266666666603E-3</v>
      </c>
      <c r="L13">
        <f>K13/H13</f>
        <v>6.6982520959514735</v>
      </c>
    </row>
    <row r="14" spans="1:12">
      <c r="A14" t="s">
        <v>39</v>
      </c>
      <c r="B14">
        <f>SUM(B11:B13)</f>
        <v>6.3469766666666603E-4</v>
      </c>
      <c r="C14">
        <f t="shared" ref="C14:E14" si="0">SUM(C11:C13)</f>
        <v>6.8792499999999895E-4</v>
      </c>
      <c r="D14">
        <f t="shared" si="0"/>
        <v>1.1673683333333321E-3</v>
      </c>
      <c r="E14">
        <f t="shared" si="0"/>
        <v>3.6600699999999801E-3</v>
      </c>
      <c r="F14">
        <f>E14/B14</f>
        <v>5.7666353481683679</v>
      </c>
      <c r="G14" t="s">
        <v>32</v>
      </c>
      <c r="H14">
        <f>SUM(H11:H13)</f>
        <v>1.944565666666659E-3</v>
      </c>
      <c r="I14">
        <f>SUM(I11:I13)</f>
        <v>2.2719709999999989E-3</v>
      </c>
      <c r="J14">
        <f>SUM(J11:J13)</f>
        <v>4.4053479999999904E-3</v>
      </c>
      <c r="K14">
        <f>SUM(K11:K13)</f>
        <v>1.251310333333332E-2</v>
      </c>
    </row>
    <row r="15" spans="1:12">
      <c r="A15" t="s">
        <v>38</v>
      </c>
      <c r="B15">
        <v>1.944565666666659E-3</v>
      </c>
      <c r="C15">
        <v>2.2719709999999989E-3</v>
      </c>
      <c r="D15">
        <v>4.4053479999999904E-3</v>
      </c>
      <c r="E15">
        <v>1.251310333333332E-2</v>
      </c>
      <c r="F15">
        <f>E15/B15</f>
        <v>6.4349091150946149</v>
      </c>
      <c r="K15">
        <f>K13/K14</f>
        <v>0.54224971103624442</v>
      </c>
    </row>
    <row r="16" spans="1:12">
      <c r="A16" t="s">
        <v>31</v>
      </c>
      <c r="E16">
        <f>E15/E14</f>
        <v>3.4188153049896282</v>
      </c>
    </row>
    <row r="22" spans="2:8">
      <c r="B22">
        <f>E14/B14</f>
        <v>5.7666353481683679</v>
      </c>
      <c r="H22">
        <f>K14/H14</f>
        <v>6.4349091150946149</v>
      </c>
    </row>
    <row r="23" spans="2:8">
      <c r="B23">
        <f>B15/B14</f>
        <v>3.0637668433211944</v>
      </c>
    </row>
    <row r="32" spans="2:8">
      <c r="H32">
        <v>1.2930000000000001E-3</v>
      </c>
    </row>
    <row r="33" spans="8:8">
      <c r="H33">
        <v>1.3269200000000001E-3</v>
      </c>
    </row>
    <row r="34" spans="8:8">
      <c r="H34">
        <v>1.32507E-3</v>
      </c>
    </row>
    <row r="35" spans="8:8">
      <c r="H35">
        <f>AVERAGE(H32:H32:H34)</f>
        <v>1.3149966666666669E-3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LULESH-prepare</vt:lpstr>
      <vt:lpstr>LULESH</vt:lpstr>
      <vt:lpstr>PENNANT</vt:lpstr>
      <vt:lpstr>BigSort</vt:lpstr>
      <vt:lpstr>Nekbone</vt:lpstr>
      <vt:lpstr>Nekbone-comm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2026-02-08T09:59:18Z</dcterms:created>
  <dcterms:modified xsi:type="dcterms:W3CDTF">2026-03-15T13:07:27Z</dcterms:modified>
</cp:coreProperties>
</file>
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"/>
    </mc:Choice>
  </mc:AlternateContent>
  <xr:revisionPtr revIDLastSave="0" documentId="13_ncr:1_{C8AC30AC-BD34-1746-A662-E53BFE1F64CF}" xr6:coauthVersionLast="47" xr6:coauthVersionMax="47" xr10:uidLastSave="{00000000-0000-0000-0000-000000000000}"/>
  <bookViews>
    <workbookView xWindow="0" yWindow="0" windowWidth="38400" windowHeight="21600" activeTab="1" xr2:uid="{38F3F6C3-4CC1-D94E-933C-82A30BAF22B3}"/>
  </bookViews>
  <sheets>
    <sheet name="LULESH-prepare" sheetId="3" r:id="rId1"/>
    <sheet name="LULESH" sheetId="1" r:id="rId2"/>
    <sheet name="PENNANT" sheetId="2" r:id="rId3"/>
    <sheet name="pennant_leblancbig_records" sheetId="9" r:id="rId4"/>
    <sheet name="BigSort" sheetId="5" r:id="rId5"/>
    <sheet name="Nekbone" sheetId="7" r:id="rId6"/>
    <sheet name="Nekbone-comm" sheetId="4" r:id="rId7"/>
  </sheets>
  <definedNames>
    <definedName name="ExternalData_1" localSheetId="3" hidden="1">pennant_leblancbig_records!$A$1:$H$82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2" l="1"/>
  <c r="D55" i="2"/>
  <c r="C56" i="2"/>
  <c r="C55" i="2"/>
  <c r="B56" i="2"/>
  <c r="B55" i="2"/>
  <c r="D54" i="2"/>
  <c r="C54" i="2"/>
  <c r="B54" i="2"/>
  <c r="B53" i="2"/>
  <c r="C53" i="2"/>
  <c r="D53" i="2"/>
  <c r="E56" i="2"/>
  <c r="E55" i="2"/>
  <c r="E54" i="2"/>
  <c r="E53" i="2"/>
  <c r="C7" i="2"/>
  <c r="D7" i="2"/>
  <c r="E7" i="2"/>
  <c r="B7" i="2"/>
  <c r="C86" i="9"/>
  <c r="B86" i="9"/>
  <c r="C85" i="9"/>
  <c r="B85" i="9"/>
  <c r="E51" i="1"/>
  <c r="E50" i="1"/>
  <c r="D51" i="1"/>
  <c r="D50" i="1"/>
  <c r="C51" i="1"/>
  <c r="C50" i="1"/>
  <c r="B51" i="1"/>
  <c r="B50" i="1"/>
  <c r="E49" i="1"/>
  <c r="D49" i="1"/>
  <c r="C49" i="1"/>
  <c r="B49" i="1"/>
  <c r="E42" i="1"/>
  <c r="B42" i="1"/>
  <c r="F15" i="4"/>
  <c r="F14" i="4"/>
  <c r="K15" i="4"/>
  <c r="L11" i="4"/>
  <c r="L12" i="4"/>
  <c r="L13" i="4"/>
  <c r="E16" i="4"/>
  <c r="B23" i="4"/>
  <c r="H22" i="4"/>
  <c r="B22" i="4"/>
  <c r="I14" i="4"/>
  <c r="H35" i="4"/>
  <c r="K14" i="4"/>
  <c r="J14" i="4"/>
  <c r="H14" i="4"/>
  <c r="C14" i="4"/>
  <c r="D14" i="4"/>
  <c r="E14" i="4"/>
  <c r="B14" i="4"/>
  <c r="E36" i="1"/>
  <c r="E35" i="1"/>
  <c r="B36" i="1"/>
  <c r="B35" i="1"/>
  <c r="F23" i="1"/>
  <c r="F15" i="1"/>
  <c r="F31" i="1"/>
  <c r="H20" i="1"/>
  <c r="H21" i="1"/>
  <c r="H22" i="1"/>
  <c r="H23" i="1"/>
  <c r="H24" i="1"/>
  <c r="H19" i="1"/>
  <c r="G20" i="1"/>
  <c r="G21" i="1"/>
  <c r="G22" i="1"/>
  <c r="G23" i="1"/>
  <c r="G24" i="1"/>
  <c r="G19" i="1"/>
  <c r="F20" i="1"/>
  <c r="F21" i="1"/>
  <c r="F22" i="1"/>
  <c r="F24" i="1"/>
  <c r="F19" i="1"/>
  <c r="E38" i="2"/>
  <c r="D38" i="2"/>
  <c r="C38" i="2"/>
  <c r="B38" i="2"/>
  <c r="E28" i="2"/>
  <c r="D28" i="2"/>
  <c r="C28" i="2"/>
  <c r="B28" i="2"/>
  <c r="C19" i="2"/>
  <c r="D19" i="2"/>
  <c r="E19" i="2"/>
  <c r="B19" i="2"/>
  <c r="C50" i="2" l="1"/>
  <c r="D29" i="2"/>
  <c r="C29" i="2"/>
  <c r="E48" i="2"/>
  <c r="G38" i="2"/>
  <c r="E39" i="2"/>
  <c r="E41" i="2"/>
  <c r="D39" i="2"/>
  <c r="D41" i="2"/>
  <c r="C41" i="2"/>
  <c r="C39" i="2"/>
  <c r="F38" i="2"/>
  <c r="B41" i="2"/>
  <c r="B39" i="2"/>
  <c r="B48" i="2"/>
  <c r="E29" i="2"/>
  <c r="G28" i="2"/>
  <c r="E47" i="2"/>
  <c r="B29" i="2"/>
  <c r="F28" i="2"/>
  <c r="B47" i="2"/>
  <c r="D50" i="2"/>
  <c r="D20" i="2"/>
  <c r="E50" i="2"/>
  <c r="G19" i="2"/>
  <c r="E20" i="2"/>
  <c r="E43" i="2"/>
  <c r="E44" i="2"/>
  <c r="B57" i="2"/>
  <c r="B44" i="2"/>
  <c r="B43" i="2"/>
  <c r="B50" i="2"/>
  <c r="F19" i="2"/>
  <c r="E52" i="1"/>
  <c r="B52" i="1"/>
  <c r="B20" i="2"/>
  <c r="C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6EA75-82AA-D541-8B2A-553367A60623}" keepAlive="1" name="クエリ - pennant_leblancbig_records" description="ブック内の 'pennant_leblancbig_records' クエリへの接続です。" type="5" refreshedVersion="8" background="1" saveData="1">
    <dbPr connection="Provider=Microsoft.Mashup.OleDb.1;Data Source=$Workbook$;Location=pennant_leblancbig_records;Extended Properties=&quot;&quot;" command="SELECT * FROM [pennant_leblancbig_records]"/>
  </connection>
</connections>
</file>

<file path=xl/sharedStrings.xml><?xml version="1.0" encoding="utf-8"?>
<sst xmlns="http://schemas.openxmlformats.org/spreadsheetml/2006/main" count="580" uniqueCount="148">
  <si>
    <t>Native+Unenc (Baseline)</t>
    <phoneticPr fontId="1"/>
  </si>
  <si>
    <t>Native+Enc</t>
    <phoneticPr fontId="1"/>
  </si>
  <si>
    <t>TEE+Unenc</t>
    <phoneticPr fontId="1"/>
  </si>
  <si>
    <t>TEE+Enc (Proposal)</t>
    <phoneticPr fontId="1"/>
  </si>
  <si>
    <t>s=10</t>
    <phoneticPr fontId="1"/>
  </si>
  <si>
    <t>s=20</t>
    <phoneticPr fontId="1"/>
  </si>
  <si>
    <t>s=30</t>
  </si>
  <si>
    <t>s=40</t>
  </si>
  <si>
    <t>s=50</t>
  </si>
  <si>
    <t>s=60</t>
  </si>
  <si>
    <t>2node</t>
    <phoneticPr fontId="1"/>
  </si>
  <si>
    <t>4node</t>
    <phoneticPr fontId="1"/>
  </si>
  <si>
    <t>8node</t>
    <phoneticPr fontId="1"/>
  </si>
  <si>
    <t>1回目</t>
    <rPh sb="1" eb="3">
      <t>カイ</t>
    </rPh>
    <phoneticPr fontId="1"/>
  </si>
  <si>
    <t>2回目</t>
    <rPh sb="1" eb="3">
      <t>カイ</t>
    </rPh>
    <phoneticPr fontId="1"/>
  </si>
  <si>
    <t>3回目</t>
    <rPh sb="1" eb="3">
      <t>カイ</t>
    </rPh>
    <phoneticPr fontId="1"/>
  </si>
  <si>
    <t>4回目</t>
    <rPh sb="1" eb="3">
      <t>カイ</t>
    </rPh>
    <phoneticPr fontId="1"/>
  </si>
  <si>
    <t>5回目</t>
    <rPh sb="1" eb="3">
      <t>カイ</t>
    </rPh>
    <phoneticPr fontId="1"/>
  </si>
  <si>
    <t>avr</t>
    <phoneticPr fontId="1"/>
  </si>
  <si>
    <t>単位/s</t>
    <rPh sb="0" eb="2">
      <t xml:space="preserve">タンイ </t>
    </rPh>
    <phoneticPr fontId="1"/>
  </si>
  <si>
    <t>slowdown</t>
  </si>
  <si>
    <t>slowdown</t>
    <phoneticPr fontId="1"/>
  </si>
  <si>
    <t>pairwise1</t>
    <phoneticPr fontId="1"/>
  </si>
  <si>
    <t>crystal1</t>
    <phoneticPr fontId="1"/>
  </si>
  <si>
    <t>all reduce1</t>
    <phoneticPr fontId="1"/>
  </si>
  <si>
    <t>pairwise2</t>
  </si>
  <si>
    <t>pairwise3</t>
  </si>
  <si>
    <t>crystal2</t>
  </si>
  <si>
    <t>crystal3</t>
  </si>
  <si>
    <t>all reduce2</t>
  </si>
  <si>
    <t>all reduce3</t>
  </si>
  <si>
    <t>sum</t>
  </si>
  <si>
    <t>sum</t>
    <phoneticPr fontId="1"/>
  </si>
  <si>
    <t>Paiwise</t>
    <phoneticPr fontId="1"/>
  </si>
  <si>
    <t>Crystal</t>
    <phoneticPr fontId="1"/>
  </si>
  <si>
    <t>Allreduce</t>
    <phoneticPr fontId="1"/>
  </si>
  <si>
    <t xml:space="preserve">Pairwise </t>
    <phoneticPr fontId="1"/>
  </si>
  <si>
    <t xml:space="preserve">Crystal </t>
    <phoneticPr fontId="1"/>
  </si>
  <si>
    <t>4node sum</t>
    <phoneticPr fontId="1"/>
  </si>
  <si>
    <t>2node sum</t>
    <phoneticPr fontId="1"/>
  </si>
  <si>
    <t>2nodes</t>
    <phoneticPr fontId="1"/>
  </si>
  <si>
    <t>4nodes</t>
    <phoneticPr fontId="1"/>
  </si>
  <si>
    <t>8nodes</t>
    <phoneticPr fontId="1"/>
  </si>
  <si>
    <t>speedup</t>
    <phoneticPr fontId="1"/>
  </si>
  <si>
    <t>ps=50</t>
    <phoneticPr fontId="1"/>
  </si>
  <si>
    <t>normalazation</t>
    <phoneticPr fontId="1"/>
  </si>
  <si>
    <t>env</t>
  </si>
  <si>
    <t>enc</t>
  </si>
  <si>
    <t>case</t>
  </si>
  <si>
    <t>procs</t>
  </si>
  <si>
    <t>run</t>
  </si>
  <si>
    <t>node_tag</t>
  </si>
  <si>
    <t>seconds</t>
  </si>
  <si>
    <t>file</t>
  </si>
  <si>
    <t>Native</t>
  </si>
  <si>
    <t>ENC</t>
  </si>
  <si>
    <t>leblancbig</t>
  </si>
  <si>
    <t>1node216</t>
  </si>
  <si>
    <t>/mnt/ebi/shimojima/TPDP/PENNANT/Native/results/pennant-enc-leblancbig-1proc-1node216-run1.csv</t>
  </si>
  <si>
    <t>/mnt/ebi/shimojima/TPDP/PENNANT/Native/results/pennant-enc-leblancbig-1proc-1node216-run2.csv</t>
  </si>
  <si>
    <t>/mnt/ebi/shimojima/TPDP/PENNANT/Native/results/pennant-enc-leblancbig-1proc-1node216-run3.csv</t>
  </si>
  <si>
    <t>/mnt/ebi/shimojima/TPDP/PENNANT/Native/results/pennant-enc-leblancbig-1proc-1node216-run4.csv</t>
  </si>
  <si>
    <t>/mnt/ebi/shimojima/TPDP/PENNANT/Native/results/pennant-enc-leblancbig-1proc-1node216-run5.csv</t>
  </si>
  <si>
    <t/>
  </si>
  <si>
    <t>/mnt/ebi/shimojima/TPDP/PENNANT/Native/results/pennant-enc-leblancbig-2proc-run1.csv</t>
  </si>
  <si>
    <t>/mnt/ebi/shimojima/TPDP/PENNANT/Native/results/pennant-enc-leblancbig-2proc-run2.csv</t>
  </si>
  <si>
    <t>/mnt/ebi/shimojima/TPDP/PENNANT/Native/results/pennant-enc-leblancbig-2proc-run3.csv</t>
  </si>
  <si>
    <t>/mnt/ebi/shimojima/TPDP/PENNANT/Native/results/pennant-enc-leblancbig-2proc-run4.csv</t>
  </si>
  <si>
    <t>/mnt/ebi/shimojima/TPDP/PENNANT/Native/results/pennant-enc-leblancbig-2proc-run5.csv</t>
  </si>
  <si>
    <t>/mnt/ebi/shimojima/TPDP/PENNANT/Native/results/pennant-enc-leblancbig-4proc-run1.csv</t>
  </si>
  <si>
    <t>/mnt/ebi/shimojima/TPDP/PENNANT/Native/results/pennant-enc-leblancbig-4proc-run2.csv</t>
  </si>
  <si>
    <t>/mnt/ebi/shimojima/TPDP/PENNANT/Native/results/pennant-enc-leblancbig-4proc-run3.csv</t>
  </si>
  <si>
    <t>/mnt/ebi/shimojima/TPDP/PENNANT/Native/results/pennant-enc-leblancbig-4proc-run4.csv</t>
  </si>
  <si>
    <t>/mnt/ebi/shimojima/TPDP/PENNANT/Native/results/pennant-enc-leblancbig-4proc-run5.csv</t>
  </si>
  <si>
    <t>/mnt/ebi/shimojima/TPDP/PENNANT/Native/results/pennant-enc-leblancbig-4proc-run{2...5}.csv</t>
  </si>
  <si>
    <t>/mnt/ebi/shimojima/TPDP/PENNANT/Native/results/pennant-enc-leblancbig-8proc-run1.csv</t>
  </si>
  <si>
    <t>/mnt/ebi/shimojima/TPDP/PENNANT/Native/results/pennant-enc-leblancbig-8proc-run2.csv</t>
  </si>
  <si>
    <t>/mnt/ebi/shimojima/TPDP/PENNANT/Native/results/pennant-enc-leblancbig-8proc-run3.csv</t>
  </si>
  <si>
    <t>/mnt/ebi/shimojima/TPDP/PENNANT/Native/results/pennant-enc-leblancbig-8proc-run4.csv</t>
  </si>
  <si>
    <t>/mnt/ebi/shimojima/TPDP/PENNANT/Native/results/pennant-enc-leblancbig-8proc-run5.csv</t>
  </si>
  <si>
    <t>UNENC</t>
  </si>
  <si>
    <t>/mnt/ebi/shimojima/TPDP/PENNANT/Native/results/pennant-native-leblancbig-1proc-1node216-run1.csv</t>
  </si>
  <si>
    <t>/mnt/ebi/shimojima/TPDP/PENNANT/Native/results/pennant-native-leblancbig-1proc-1node216-run2.csv</t>
  </si>
  <si>
    <t>/mnt/ebi/shimojima/TPDP/PENNANT/Native/results/pennant-native-leblancbig-1proc-1node216-run3.csv</t>
  </si>
  <si>
    <t>/mnt/ebi/shimojima/TPDP/PENNANT/Native/results/pennant-native-leblancbig-1proc-1node216-run4.csv</t>
  </si>
  <si>
    <t>/mnt/ebi/shimojima/TPDP/PENNANT/Native/results/pennant-native-leblancbig-1proc-1node216-run5.csv</t>
  </si>
  <si>
    <t>/mnt/ebi/shimojima/TPDP/PENNANT/Native/results/pennant-native-leblancbig-2proc-run1.csv</t>
  </si>
  <si>
    <t>/mnt/ebi/shimojima/TPDP/PENNANT/Native/results/pennant-native-leblancbig-2proc-run2.csv</t>
  </si>
  <si>
    <t>/mnt/ebi/shimojima/TPDP/PENNANT/Native/results/pennant-native-leblancbig-2proc-run3.csv</t>
  </si>
  <si>
    <t>/mnt/ebi/shimojima/TPDP/PENNANT/Native/results/pennant-native-leblancbig-2proc-run4.csv</t>
  </si>
  <si>
    <t>/mnt/ebi/shimojima/TPDP/PENNANT/Native/results/pennant-native-leblancbig-2proc-run5.csv</t>
  </si>
  <si>
    <t>/mnt/ebi/shimojima/TPDP/PENNANT/Native/results/pennant-native-leblancbig-4proc-run1.csv</t>
  </si>
  <si>
    <t>/mnt/ebi/shimojima/TPDP/PENNANT/Native/results/pennant-native-leblancbig-4proc-run2.csv</t>
  </si>
  <si>
    <t>/mnt/ebi/shimojima/TPDP/PENNANT/Native/results/pennant-native-leblancbig-4proc-run3.csv</t>
  </si>
  <si>
    <t>/mnt/ebi/shimojima/TPDP/PENNANT/Native/results/pennant-native-leblancbig-4proc-run4.csv</t>
  </si>
  <si>
    <t>/mnt/ebi/shimojima/TPDP/PENNANT/Native/results/pennant-native-leblancbig-4proc-run5.csv</t>
  </si>
  <si>
    <t>/mnt/ebi/shimojima/TPDP/PENNANT/Native/results/pennant-native-leblancbig-8proc-run1.csv</t>
  </si>
  <si>
    <t>/mnt/ebi/shimojima/TPDP/PENNANT/Native/results/pennant-native-leblancbig-8proc-run2.csv</t>
  </si>
  <si>
    <t>/mnt/ebi/shimojima/TPDP/PENNANT/Native/results/pennant-native-leblancbig-8proc-run3.csv</t>
  </si>
  <si>
    <t>/mnt/ebi/shimojima/TPDP/PENNANT/Native/results/pennant-native-leblancbig-8proc-run4.csv</t>
  </si>
  <si>
    <t>/mnt/ebi/shimojima/TPDP/PENNANT/Native/results/pennant-native-leblancbig-8proc-run5.csv</t>
  </si>
  <si>
    <t>SGX</t>
  </si>
  <si>
    <t>/mnt/ebi/shimojima/TPDP/PENNANT/SGX/results/Pennant-ENC-PENNANT-1PE-run-1.csv</t>
  </si>
  <si>
    <t>/mnt/ebi/shimojima/TPDP/PENNANT/SGX/results/Pennant-ENC-PENNANT-1PE-run-2.csv</t>
  </si>
  <si>
    <t>/mnt/ebi/shimojima/TPDP/PENNANT/SGX/results/Pennant-ENC-PENNANT-1PE-run-3.csv</t>
  </si>
  <si>
    <t>/mnt/ebi/shimojima/TPDP/PENNANT/SGX/results/Pennant-ENC-PENNANT-1PE-run-4.csv</t>
  </si>
  <si>
    <t>/mnt/ebi/shimojima/TPDP/PENNANT/SGX/results/Pennant-ENC-PENNANT-1PE-run-5.csv</t>
  </si>
  <si>
    <t>/mnt/ebi/shimojima/TPDP/PENNANT/SGX/results/Pennant-ENC-PENNANT-2PE-run-1.csv</t>
  </si>
  <si>
    <t>/mnt/ebi/shimojima/TPDP/PENNANT/SGX/results/Pennant-ENC-PENNANT-2PE-run-2.csv</t>
  </si>
  <si>
    <t>/mnt/ebi/shimojima/TPDP/PENNANT/SGX/results/Pennant-ENC-PENNANT-2PE-run-3.csv</t>
  </si>
  <si>
    <t>/mnt/ebi/shimojima/TPDP/PENNANT/SGX/results/Pennant-ENC-PENNANT-2PE-run-4.csv</t>
  </si>
  <si>
    <t>/mnt/ebi/shimojima/TPDP/PENNANT/SGX/results/Pennant-ENC-PENNANT-2PE-run-5.csv</t>
  </si>
  <si>
    <t>/mnt/ebi/shimojima/TPDP/PENNANT/SGX/results/Pennant-ENC-PENNANT-4PE-run-1.csv</t>
  </si>
  <si>
    <t>/mnt/ebi/shimojima/TPDP/PENNANT/SGX/results/Pennant-ENC-PENNANT-4PE-run-2.csv</t>
  </si>
  <si>
    <t>/mnt/ebi/shimojima/TPDP/PENNANT/SGX/results/Pennant-ENC-PENNANT-4PE-run-3.csv</t>
  </si>
  <si>
    <t>/mnt/ebi/shimojima/TPDP/PENNANT/SGX/results/Pennant-ENC-PENNANT-4PE-run-4.csv</t>
  </si>
  <si>
    <t>/mnt/ebi/shimojima/TPDP/PENNANT/SGX/results/Pennant-ENC-PENNANT-4PE-run-5.csv</t>
  </si>
  <si>
    <t>/mnt/ebi/shimojima/TPDP/PENNANT/SGX/results/Pennant-ENC-PENNANT-8PE-run-1.csv</t>
  </si>
  <si>
    <t>/mnt/ebi/shimojima/TPDP/PENNANT/SGX/results/Pennant-ENC-PENNANT-8PE-run-2.csv</t>
  </si>
  <si>
    <t>/mnt/ebi/shimojima/TPDP/PENNANT/SGX/results/Pennant-ENC-PENNANT-8PE-run-3.csv</t>
  </si>
  <si>
    <t>/mnt/ebi/shimojima/TPDP/PENNANT/SGX/results/Pennant-ENC-PENNANT-8PE-run-4.csv</t>
  </si>
  <si>
    <t>/mnt/ebi/shimojima/TPDP/PENNANT/SGX/results/Pennant-ENC-PENNANT-8PE-run-5.csv</t>
  </si>
  <si>
    <t>/mnt/ebi/shimojima/TPDP/PENNANT/SGX/results/Pennant-UNENC-PENNANT-1PE-run-1.csv</t>
  </si>
  <si>
    <t>/mnt/ebi/shimojima/TPDP/PENNANT/SGX/results/Pennant-UNENC-PENNANT-1PE-run-2.csv</t>
  </si>
  <si>
    <t>/mnt/ebi/shimojima/TPDP/PENNANT/SGX/results/Pennant-UNENC-PENNANT-1PE-run-3.csv</t>
  </si>
  <si>
    <t>/mnt/ebi/shimojima/TPDP/PENNANT/SGX/results/Pennant-UNENC-PENNANT-1PE-run-4.csv</t>
  </si>
  <si>
    <t>/mnt/ebi/shimojima/TPDP/PENNANT/SGX/results/Pennant-UNENC-PENNANT-1PE-run-5.csv</t>
  </si>
  <si>
    <t>/mnt/ebi/shimojima/TPDP/PENNANT/SGX/results/Pennant-UNENC-PENNANT-2PE-run-1.csv</t>
  </si>
  <si>
    <t>/mnt/ebi/shimojima/TPDP/PENNANT/SGX/results/Pennant-UNENC-PENNANT-2PE-run-2.csv</t>
  </si>
  <si>
    <t>/mnt/ebi/shimojima/TPDP/PENNANT/SGX/results/Pennant-UNENC-PENNANT-2PE-run-3.csv</t>
  </si>
  <si>
    <t>/mnt/ebi/shimojima/TPDP/PENNANT/SGX/results/Pennant-UNENC-PENNANT-2PE-run-4.csv</t>
  </si>
  <si>
    <t>/mnt/ebi/shimojima/TPDP/PENNANT/SGX/results/Pennant-UNENC-PENNANT-2PE-run-5.csv</t>
  </si>
  <si>
    <t>/mnt/ebi/shimojima/TPDP/PENNANT/SGX/results/Pennant-UNENC-PENNANT-4PE-run-1.csv</t>
  </si>
  <si>
    <t>/mnt/ebi/shimojima/TPDP/PENNANT/SGX/results/Pennant-UNENC-PENNANT-4PE-run-2.csv</t>
  </si>
  <si>
    <t>/mnt/ebi/shimojima/TPDP/PENNANT/SGX/results/Pennant-UNENC-PENNANT-4PE-run-3.csv</t>
  </si>
  <si>
    <t>/mnt/ebi/shimojima/TPDP/PENNANT/SGX/results/Pennant-UNENC-PENNANT-4PE-run-4.csv</t>
  </si>
  <si>
    <t>/mnt/ebi/shimojima/TPDP/PENNANT/SGX/results/Pennant-UNENC-PENNANT-4PE-run-5.csv</t>
  </si>
  <si>
    <t>/mnt/ebi/shimojima/TPDP/PENNANT/SGX/results/Pennant-UNENC-PENNANT-8PE-run-1.csv</t>
  </si>
  <si>
    <t>/mnt/ebi/shimojima/TPDP/PENNANT/SGX/results/Pennant-UNENC-PENNANT-8PE-run-2.csv</t>
  </si>
  <si>
    <t>/mnt/ebi/shimojima/TPDP/PENNANT/SGX/results/Pennant-UNENC-PENNANT-8PE-run-3.csv</t>
  </si>
  <si>
    <t>/mnt/ebi/shimojima/TPDP/PENNANT/SGX/results/Pennant-UNENC-PENNANT-8PE-run-4.csv</t>
  </si>
  <si>
    <t>/mnt/ebi/shimojima/TPDP/PENNANT/SGX/results/Pennant-UNENC-PENNANT-8PE-run-5.csv</t>
  </si>
  <si>
    <t>1nodes</t>
    <phoneticPr fontId="1"/>
  </si>
  <si>
    <t>Native</t>
    <phoneticPr fontId="1"/>
  </si>
  <si>
    <t>SGX</t>
    <phoneticPr fontId="1"/>
  </si>
  <si>
    <t>Unenc</t>
    <phoneticPr fontId="1"/>
  </si>
  <si>
    <t>Enc</t>
    <phoneticPr fontId="1"/>
  </si>
  <si>
    <t>1node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</si>
</sst>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9A9A9A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688941079017"/>
          <c:y val="7.1304670986923099E-2"/>
          <c:w val="0.89008481796426031"/>
          <c:h val="0.70856087614455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LULESH!$B$10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LULESH!$B$11:$B$15</c:f>
              <c:numCache>
                <c:formatCode>General</c:formatCode>
                <c:ptCount val="5"/>
                <c:pt idx="0">
                  <c:v>5624.8608000000004</c:v>
                </c:pt>
                <c:pt idx="1">
                  <c:v>15699.045</c:v>
                </c:pt>
                <c:pt idx="2">
                  <c:v>18779.967000000001</c:v>
                </c:pt>
                <c:pt idx="3">
                  <c:v>20979.945</c:v>
                </c:pt>
                <c:pt idx="4">
                  <c:v>20975.732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D-764F-9B8A-5987DD02448E}"/>
            </c:ext>
          </c:extLst>
        </c:ser>
        <c:ser>
          <c:idx val="1"/>
          <c:order val="1"/>
          <c:tx>
            <c:strRef>
              <c:f>LULESH!$C$10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LULESH!$C$11:$C$15</c:f>
              <c:numCache>
                <c:formatCode>General</c:formatCode>
                <c:ptCount val="5"/>
                <c:pt idx="0">
                  <c:v>5060.4201999999996</c:v>
                </c:pt>
                <c:pt idx="1">
                  <c:v>15118.303</c:v>
                </c:pt>
                <c:pt idx="2">
                  <c:v>17977.436000000002</c:v>
                </c:pt>
                <c:pt idx="3">
                  <c:v>20599.544999999998</c:v>
                </c:pt>
                <c:pt idx="4">
                  <c:v>20710.399000000001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D-764F-9B8A-5987DD02448E}"/>
            </c:ext>
          </c:extLst>
        </c:ser>
        <c:ser>
          <c:idx val="2"/>
          <c:order val="2"/>
          <c:tx>
            <c:strRef>
              <c:f>LULESH!$D$10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LULESH!$D$11:$D$15</c:f>
              <c:numCache>
                <c:formatCode>General</c:formatCode>
                <c:ptCount val="5"/>
                <c:pt idx="0">
                  <c:v>515.29656</c:v>
                </c:pt>
                <c:pt idx="1">
                  <c:v>3822.7582000000002</c:v>
                </c:pt>
                <c:pt idx="2">
                  <c:v>9972.3084999999992</c:v>
                </c:pt>
                <c:pt idx="3">
                  <c:v>15255.33</c:v>
                </c:pt>
                <c:pt idx="4">
                  <c:v>19663.131000000001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6D-764F-9B8A-5987DD02448E}"/>
            </c:ext>
          </c:extLst>
        </c:ser>
        <c:ser>
          <c:idx val="3"/>
          <c:order val="3"/>
          <c:tx>
            <c:strRef>
              <c:f>LULESH!$E$10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LULESH!$E$11:$E$15</c:f>
              <c:numCache>
                <c:formatCode>General</c:formatCode>
                <c:ptCount val="5"/>
                <c:pt idx="0">
                  <c:v>458.90771000000001</c:v>
                </c:pt>
                <c:pt idx="1">
                  <c:v>2775.8040000000001</c:v>
                </c:pt>
                <c:pt idx="2">
                  <c:v>6236.6351000000004</c:v>
                </c:pt>
                <c:pt idx="3">
                  <c:v>9290.0851999999995</c:v>
                </c:pt>
                <c:pt idx="4">
                  <c:v>11267.638000000001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D-764F-9B8A-5987DD02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028368"/>
        <c:axId val="1857975600"/>
      </c:barChart>
      <c:catAx>
        <c:axId val="185802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Problem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975600"/>
        <c:crosses val="autoZero"/>
        <c:auto val="1"/>
        <c:lblAlgn val="ctr"/>
        <c:lblOffset val="100"/>
        <c:noMultiLvlLbl val="0"/>
      </c:catAx>
      <c:valAx>
        <c:axId val="18579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FOM (zones/s)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80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02220027458666E-2"/>
          <c:y val="3.5539219102037022E-2"/>
          <c:w val="0.20530668504479666"/>
          <c:h val="0.52035907563671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LULESH!$B$10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LULESH!$B$44:$B$46</c:f>
              <c:numCache>
                <c:formatCode>General</c:formatCode>
                <c:ptCount val="3"/>
                <c:pt idx="0">
                  <c:v>20975.732</c:v>
                </c:pt>
                <c:pt idx="1">
                  <c:v>37600.175000000003</c:v>
                </c:pt>
                <c:pt idx="2">
                  <c:v>43164.962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2-C44E-9BB2-677A0F3C95E9}"/>
            </c:ext>
          </c:extLst>
        </c:ser>
        <c:ser>
          <c:idx val="1"/>
          <c:order val="1"/>
          <c:tx>
            <c:strRef>
              <c:f>LULESH!$C$10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LULESH!$C$44:$C$46</c:f>
              <c:numCache>
                <c:formatCode>General</c:formatCode>
                <c:ptCount val="3"/>
                <c:pt idx="0">
                  <c:v>20710.399000000001</c:v>
                </c:pt>
                <c:pt idx="1">
                  <c:v>37267.324999999997</c:v>
                </c:pt>
                <c:pt idx="2">
                  <c:v>41001.682000000001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2-C44E-9BB2-677A0F3C95E9}"/>
            </c:ext>
          </c:extLst>
        </c:ser>
        <c:ser>
          <c:idx val="2"/>
          <c:order val="2"/>
          <c:tx>
            <c:strRef>
              <c:f>LULESH!$D$10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LULESH!$D$44:$D$46</c:f>
              <c:numCache>
                <c:formatCode>General</c:formatCode>
                <c:ptCount val="3"/>
                <c:pt idx="0">
                  <c:v>19663.131000000001</c:v>
                </c:pt>
                <c:pt idx="1">
                  <c:v>28797.251</c:v>
                </c:pt>
                <c:pt idx="2">
                  <c:v>31522.866000000002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2-C44E-9BB2-677A0F3C95E9}"/>
            </c:ext>
          </c:extLst>
        </c:ser>
        <c:ser>
          <c:idx val="3"/>
          <c:order val="3"/>
          <c:tx>
            <c:strRef>
              <c:f>LULESH!$E$10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LULESH!$E$44:$E$46</c:f>
              <c:numCache>
                <c:formatCode>General</c:formatCode>
                <c:ptCount val="3"/>
                <c:pt idx="0">
                  <c:v>11267.638000000001</c:v>
                </c:pt>
                <c:pt idx="1">
                  <c:v>19210.503000000001</c:v>
                </c:pt>
                <c:pt idx="2">
                  <c:v>22658.851999999999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2-C44E-9BB2-677A0F3C9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886976"/>
        <c:axId val="1138327312"/>
      </c:lineChart>
      <c:catAx>
        <c:axId val="143388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8327312"/>
        <c:crosses val="autoZero"/>
        <c:auto val="1"/>
        <c:lblAlgn val="ctr"/>
        <c:lblOffset val="100"/>
        <c:noMultiLvlLbl val="0"/>
      </c:catAx>
      <c:valAx>
        <c:axId val="11383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FOM (zones/s)</a:t>
                </a:r>
                <a:endParaRPr lang="ja-JP" altLang="ja-JP" sz="2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38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483681009724316E-2"/>
          <c:y val="2.1116369820018695E-2"/>
          <c:w val="0.30196573684744799"/>
          <c:h val="0.1799582483367117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LULESH!$B$18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LULESH!$B$19:$B$23</c:f>
              <c:numCache>
                <c:formatCode>General</c:formatCode>
                <c:ptCount val="5"/>
                <c:pt idx="0">
                  <c:v>5418.2273999999998</c:v>
                </c:pt>
                <c:pt idx="1">
                  <c:v>21121.981</c:v>
                </c:pt>
                <c:pt idx="2">
                  <c:v>30642.467000000001</c:v>
                </c:pt>
                <c:pt idx="3">
                  <c:v>35584.966</c:v>
                </c:pt>
                <c:pt idx="4">
                  <c:v>37600.175000000003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9048-B3BD-E73C77C11A08}"/>
            </c:ext>
          </c:extLst>
        </c:ser>
        <c:ser>
          <c:idx val="1"/>
          <c:order val="1"/>
          <c:tx>
            <c:strRef>
              <c:f>LULESH!$C$18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LULESH!$C$19:$C$23</c:f>
              <c:numCache>
                <c:formatCode>General</c:formatCode>
                <c:ptCount val="5"/>
                <c:pt idx="0">
                  <c:v>4991.1394</c:v>
                </c:pt>
                <c:pt idx="1">
                  <c:v>20420.144</c:v>
                </c:pt>
                <c:pt idx="2">
                  <c:v>29674.716</c:v>
                </c:pt>
                <c:pt idx="3">
                  <c:v>34855.398999999998</c:v>
                </c:pt>
                <c:pt idx="4">
                  <c:v>37267.324999999997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9048-B3BD-E73C77C11A08}"/>
            </c:ext>
          </c:extLst>
        </c:ser>
        <c:ser>
          <c:idx val="2"/>
          <c:order val="2"/>
          <c:tx>
            <c:strRef>
              <c:f>LULESH!$D$18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LULESH!$D$19:$D$23</c:f>
              <c:numCache>
                <c:formatCode>General</c:formatCode>
                <c:ptCount val="5"/>
                <c:pt idx="0">
                  <c:v>594.53195000000005</c:v>
                </c:pt>
                <c:pt idx="1">
                  <c:v>4347.7960999999996</c:v>
                </c:pt>
                <c:pt idx="2">
                  <c:v>11880.457</c:v>
                </c:pt>
                <c:pt idx="3">
                  <c:v>21084.585999999999</c:v>
                </c:pt>
                <c:pt idx="4">
                  <c:v>28797.251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4-9048-B3BD-E73C77C11A08}"/>
            </c:ext>
          </c:extLst>
        </c:ser>
        <c:ser>
          <c:idx val="3"/>
          <c:order val="3"/>
          <c:tx>
            <c:strRef>
              <c:f>LULESH!$E$18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LULESH!$E$19:$E$23</c:f>
              <c:numCache>
                <c:formatCode>General</c:formatCode>
                <c:ptCount val="5"/>
                <c:pt idx="0">
                  <c:v>482.13216999999997</c:v>
                </c:pt>
                <c:pt idx="1">
                  <c:v>3220.1873000000001</c:v>
                </c:pt>
                <c:pt idx="2">
                  <c:v>8538.6028000000006</c:v>
                </c:pt>
                <c:pt idx="3">
                  <c:v>13349.763999999999</c:v>
                </c:pt>
                <c:pt idx="4">
                  <c:v>19210.503000000001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9048-B3BD-E73C77C11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321135"/>
        <c:axId val="1974058015"/>
      </c:barChart>
      <c:catAx>
        <c:axId val="177432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Problem Size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4058015"/>
        <c:crosses val="autoZero"/>
        <c:auto val="1"/>
        <c:lblAlgn val="ctr"/>
        <c:lblOffset val="100"/>
        <c:noMultiLvlLbl val="0"/>
      </c:catAx>
      <c:valAx>
        <c:axId val="19740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FOM (zones/s)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32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63570525906484E-2"/>
          <c:y val="1.8300857901209729E-2"/>
          <c:w val="0.31102046271993777"/>
          <c:h val="0.2081203267551116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PENNANT!$B$13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PENNANT!$B$53:$B$56</c:f>
              <c:numCache>
                <c:formatCode>General</c:formatCode>
                <c:ptCount val="4"/>
                <c:pt idx="0">
                  <c:v>1.534482290639736</c:v>
                </c:pt>
                <c:pt idx="1">
                  <c:v>2.9726470975385015</c:v>
                </c:pt>
                <c:pt idx="2">
                  <c:v>5.7813067285117903</c:v>
                </c:pt>
                <c:pt idx="3">
                  <c:v>9.7824050317419502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1-BF49-873C-80326C96406C}"/>
            </c:ext>
          </c:extLst>
        </c:ser>
        <c:ser>
          <c:idx val="1"/>
          <c:order val="1"/>
          <c:tx>
            <c:strRef>
              <c:f>PENNANT!$C$13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PENNANT!$C$53:$C$56</c:f>
              <c:numCache>
                <c:formatCode>General</c:formatCode>
                <c:ptCount val="4"/>
                <c:pt idx="0">
                  <c:v>1.5459551124718061</c:v>
                </c:pt>
                <c:pt idx="1">
                  <c:v>2.9478391852045909</c:v>
                </c:pt>
                <c:pt idx="2">
                  <c:v>5.7965656544333539</c:v>
                </c:pt>
                <c:pt idx="3">
                  <c:v>9.4831150173085135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1-BF49-873C-80326C96406C}"/>
            </c:ext>
          </c:extLst>
        </c:ser>
        <c:ser>
          <c:idx val="2"/>
          <c:order val="2"/>
          <c:tx>
            <c:strRef>
              <c:f>PENNANT!$D$13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PENNANT!$D$53:$D$56</c:f>
              <c:numCache>
                <c:formatCode>General</c:formatCode>
                <c:ptCount val="4"/>
                <c:pt idx="0">
                  <c:v>1.2463596031695412</c:v>
                </c:pt>
                <c:pt idx="1">
                  <c:v>2.1710347786211073</c:v>
                </c:pt>
                <c:pt idx="2">
                  <c:v>3.6226990953327394</c:v>
                </c:pt>
                <c:pt idx="3">
                  <c:v>5.2551055635539932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1-BF49-873C-80326C96406C}"/>
            </c:ext>
          </c:extLst>
        </c:ser>
        <c:ser>
          <c:idx val="3"/>
          <c:order val="3"/>
          <c:tx>
            <c:strRef>
              <c:f>PENNANT!$E$13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PENNANT!$E$53:$E$56</c:f>
              <c:numCache>
                <c:formatCode>General</c:formatCode>
                <c:ptCount val="4"/>
                <c:pt idx="0">
                  <c:v>1</c:v>
                </c:pt>
                <c:pt idx="1">
                  <c:v>1.4975347557544381</c:v>
                </c:pt>
                <c:pt idx="2">
                  <c:v>2.0444712547249977</c:v>
                </c:pt>
                <c:pt idx="3">
                  <c:v>2.4668570987217877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6-BE49-963C-82338DE2A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42272"/>
        <c:axId val="1415217711"/>
      </c:lineChart>
      <c:catAx>
        <c:axId val="25524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217711"/>
        <c:crosses val="autoZero"/>
        <c:auto val="1"/>
        <c:lblAlgn val="ctr"/>
        <c:lblOffset val="100"/>
        <c:noMultiLvlLbl val="0"/>
      </c:catAx>
      <c:valAx>
        <c:axId val="14152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2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1006610284825489E-2"/>
          <c:y val="3.6560804899387574E-2"/>
          <c:w val="0.24383906872752018"/>
          <c:h val="0.221322834645669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BigSort!$B$1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(BigSort!$B$2,BigSort!$B$11,BigSort!$B$21)</c:f>
              <c:numCache>
                <c:formatCode>General</c:formatCode>
                <c:ptCount val="3"/>
                <c:pt idx="0">
                  <c:v>202.82772</c:v>
                </c:pt>
                <c:pt idx="1">
                  <c:v>196.47213099999999</c:v>
                </c:pt>
                <c:pt idx="2">
                  <c:v>270.15974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D-1B4C-BDC7-036A8F7837A4}"/>
            </c:ext>
          </c:extLst>
        </c:ser>
        <c:ser>
          <c:idx val="1"/>
          <c:order val="1"/>
          <c:tx>
            <c:strRef>
              <c:f>BigSort!$C$1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(BigSort!$C$2,BigSort!$C$11,BigSort!$C$21)</c:f>
              <c:numCache>
                <c:formatCode>General</c:formatCode>
                <c:ptCount val="3"/>
                <c:pt idx="0">
                  <c:v>212.55124000000001</c:v>
                </c:pt>
                <c:pt idx="1">
                  <c:v>173.82131000000001</c:v>
                </c:pt>
                <c:pt idx="2">
                  <c:v>263.330444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D-1B4C-BDC7-036A8F7837A4}"/>
            </c:ext>
          </c:extLst>
        </c:ser>
        <c:ser>
          <c:idx val="2"/>
          <c:order val="2"/>
          <c:tx>
            <c:strRef>
              <c:f>BigSort!$D$1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(BigSort!$D$2,BigSort!$D$11,BigSort!$D$21)</c:f>
              <c:numCache>
                <c:formatCode>General</c:formatCode>
                <c:ptCount val="3"/>
                <c:pt idx="0">
                  <c:v>249.3</c:v>
                </c:pt>
                <c:pt idx="1">
                  <c:v>198.79543799999999</c:v>
                </c:pt>
                <c:pt idx="2">
                  <c:v>262.61755399999998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D-1B4C-BDC7-036A8F7837A4}"/>
            </c:ext>
          </c:extLst>
        </c:ser>
        <c:ser>
          <c:idx val="3"/>
          <c:order val="3"/>
          <c:tx>
            <c:strRef>
              <c:f>BigSort!$E$1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(BigSort!$E$2,BigSort!$E$11,BigSort!$E$21)</c:f>
              <c:numCache>
                <c:formatCode>General</c:formatCode>
                <c:ptCount val="3"/>
                <c:pt idx="0">
                  <c:v>202.43186299999999</c:v>
                </c:pt>
                <c:pt idx="1">
                  <c:v>163.93255500000001</c:v>
                </c:pt>
                <c:pt idx="2">
                  <c:v>229.255077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D-1B4C-BDC7-036A8F78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172896"/>
        <c:axId val="1567156880"/>
      </c:barChart>
      <c:catAx>
        <c:axId val="15671728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out"/>
        <c:minorTickMark val="none"/>
        <c:tickLblPos val="nextTo"/>
        <c:crossAx val="1567156880"/>
        <c:crosses val="autoZero"/>
        <c:auto val="1"/>
        <c:lblAlgn val="ctr"/>
        <c:lblOffset val="100"/>
        <c:noMultiLvlLbl val="0"/>
      </c:catAx>
      <c:valAx>
        <c:axId val="15671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ExecutionTime</a:t>
                </a:r>
                <a:r>
                  <a:rPr lang="en-US" altLang="ja-JP" b="1" baseline="0"/>
                  <a:t>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7172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3790869631601"/>
          <c:y val="2.4587682353659279E-2"/>
          <c:w val="0.26895720516348098"/>
          <c:h val="0.263310731991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'Nekbone-comm'!$B$1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'Nekbone-comm'!$B$14:$B$15</c:f>
              <c:numCache>
                <c:formatCode>General</c:formatCode>
                <c:ptCount val="2"/>
                <c:pt idx="0">
                  <c:v>6.3469766666666603E-4</c:v>
                </c:pt>
                <c:pt idx="1">
                  <c:v>1.944565666666659E-3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8-3A4A-A5F7-2DE07A22D3A2}"/>
            </c:ext>
          </c:extLst>
        </c:ser>
        <c:ser>
          <c:idx val="1"/>
          <c:order val="1"/>
          <c:tx>
            <c:strRef>
              <c:f>'Nekbone-comm'!$C$1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'Nekbone-comm'!$C$14:$C$15</c:f>
              <c:numCache>
                <c:formatCode>General</c:formatCode>
                <c:ptCount val="2"/>
                <c:pt idx="0">
                  <c:v>6.8792499999999895E-4</c:v>
                </c:pt>
                <c:pt idx="1">
                  <c:v>2.2719709999999989E-3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8-3A4A-A5F7-2DE07A22D3A2}"/>
            </c:ext>
          </c:extLst>
        </c:ser>
        <c:ser>
          <c:idx val="2"/>
          <c:order val="2"/>
          <c:tx>
            <c:strRef>
              <c:f>'Nekbone-comm'!$D$1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'Nekbone-comm'!$D$14:$D$15</c:f>
              <c:numCache>
                <c:formatCode>General</c:formatCode>
                <c:ptCount val="2"/>
                <c:pt idx="0">
                  <c:v>1.1673683333333321E-3</c:v>
                </c:pt>
                <c:pt idx="1">
                  <c:v>4.4053479999999904E-3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8-3A4A-A5F7-2DE07A22D3A2}"/>
            </c:ext>
          </c:extLst>
        </c:ser>
        <c:ser>
          <c:idx val="3"/>
          <c:order val="3"/>
          <c:tx>
            <c:strRef>
              <c:f>'Nekbone-comm'!$E$1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'Nekbone-comm'!$E$14:$E$15</c:f>
              <c:numCache>
                <c:formatCode>General</c:formatCode>
                <c:ptCount val="2"/>
                <c:pt idx="0">
                  <c:v>3.6600699999999801E-3</c:v>
                </c:pt>
                <c:pt idx="1">
                  <c:v>1.251310333333332E-2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48-3A4A-A5F7-2DE07A22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145455"/>
        <c:axId val="1686626703"/>
      </c:barChart>
      <c:catAx>
        <c:axId val="16871454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47644799471144877"/>
              <c:y val="0.92824843877273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crossAx val="1686626703"/>
        <c:crosses val="autoZero"/>
        <c:auto val="1"/>
        <c:lblAlgn val="ctr"/>
        <c:lblOffset val="100"/>
        <c:noMultiLvlLbl val="0"/>
      </c:catAx>
      <c:valAx>
        <c:axId val="1686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</a:t>
                </a:r>
                <a:r>
                  <a:rPr lang="en-US" altLang="ja-JP" b="1" baseline="0"/>
                  <a:t> T</a:t>
                </a:r>
                <a:r>
                  <a:rPr lang="en-US" altLang="ja-JP" b="1"/>
                  <a:t>ime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1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82839127644621"/>
          <c:y val="7.6745973300100079E-2"/>
          <c:w val="0.3030287966914873"/>
          <c:h val="0.2284607856221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'Nekbone-comm'!$G$11</c:f>
              <c:strCache>
                <c:ptCount val="1"/>
                <c:pt idx="0">
                  <c:v>Pairwise 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'Nekbone-comm'!$H$11:$K$11</c:f>
              <c:numCache>
                <c:formatCode>General</c:formatCode>
                <c:ptCount val="4"/>
                <c:pt idx="0">
                  <c:v>3.4949766666666598E-4</c:v>
                </c:pt>
                <c:pt idx="1">
                  <c:v>3.5673766666666597E-4</c:v>
                </c:pt>
                <c:pt idx="2">
                  <c:v>7.4480800000000002E-4</c:v>
                </c:pt>
                <c:pt idx="3">
                  <c:v>2.6461166666666598E-3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1-E143-BDE1-2666C8AA8493}"/>
            </c:ext>
          </c:extLst>
        </c:ser>
        <c:ser>
          <c:idx val="1"/>
          <c:order val="1"/>
          <c:tx>
            <c:strRef>
              <c:f>'Nekbone-comm'!$G$12</c:f>
              <c:strCache>
                <c:ptCount val="1"/>
                <c:pt idx="0">
                  <c:v>Crystal 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'Nekbone-comm'!$H$12:$K$12</c:f>
              <c:numCache>
                <c:formatCode>General</c:formatCode>
                <c:ptCount val="4"/>
                <c:pt idx="0">
                  <c:v>5.82083333333333E-4</c:v>
                </c:pt>
                <c:pt idx="1">
                  <c:v>6.0023666666666597E-4</c:v>
                </c:pt>
                <c:pt idx="2">
                  <c:v>1.2595366666666599E-3</c:v>
                </c:pt>
                <c:pt idx="3">
                  <c:v>3.0817599999999998E-3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1-E143-BDE1-2666C8AA8493}"/>
            </c:ext>
          </c:extLst>
        </c:ser>
        <c:ser>
          <c:idx val="2"/>
          <c:order val="2"/>
          <c:tx>
            <c:strRef>
              <c:f>'Nekbone-comm'!$G$13</c:f>
              <c:strCache>
                <c:ptCount val="1"/>
                <c:pt idx="0">
                  <c:v>Allreduce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'Nekbone-comm'!$H$13:$K$13</c:f>
              <c:numCache>
                <c:formatCode>General</c:formatCode>
                <c:ptCount val="4"/>
                <c:pt idx="0">
                  <c:v>1.01298466666666E-3</c:v>
                </c:pt>
                <c:pt idx="1">
                  <c:v>1.3149966666666669E-3</c:v>
                </c:pt>
                <c:pt idx="2">
                  <c:v>2.4010033333333302E-3</c:v>
                </c:pt>
                <c:pt idx="3">
                  <c:v>6.7852266666666603E-3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1-E143-BDE1-2666C8AA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9504431"/>
        <c:axId val="2102241167"/>
      </c:barChart>
      <c:catAx>
        <c:axId val="17595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Execution Environment</a:t>
                </a:r>
                <a:endParaRPr lang="ja-JP" b="1"/>
              </a:p>
            </c:rich>
          </c:tx>
          <c:layout>
            <c:manualLayout>
              <c:xMode val="edge"/>
              <c:yMode val="edge"/>
              <c:x val="0.43378923657970619"/>
              <c:y val="0.85380403942044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2241167"/>
        <c:crosses val="autoZero"/>
        <c:auto val="1"/>
        <c:lblAlgn val="ctr"/>
        <c:lblOffset val="100"/>
        <c:noMultiLvlLbl val="0"/>
      </c:catAx>
      <c:valAx>
        <c:axId val="21022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Executtion TIme (s)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950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39969773716934"/>
          <c:y val="5.8875029235207023E-2"/>
          <c:w val="0.20833070866141731"/>
          <c:h val="0.20387305460056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825499</xdr:colOff>
      <xdr:row>59</xdr:row>
      <xdr:rowOff>29632</xdr:rowOff>
    </xdr:from>
    <xdr:to>
      <xdr:col>12</xdr:col>
      <xdr:colOff>785283</xdr:colOff>
      <xdr:row>76</xdr:row>
      <xdr:rowOff>16932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F6A83F-BC49-5C2D-14D4-8F7506EF7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2280866</xdr:colOff>
      <xdr:row>27</xdr:row>
      <xdr:rowOff>245126</xdr:rowOff>
    </xdr:from>
    <xdr:to>
      <xdr:col>12</xdr:col>
      <xdr:colOff>812988</xdr:colOff>
      <xdr:row>62</xdr:row>
      <xdr:rowOff>237656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DD3E22-55BF-148A-7F07-0E480A028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500765</xdr:colOff>
      <xdr:row>22</xdr:row>
      <xdr:rowOff>50193</xdr:rowOff>
    </xdr:from>
    <xdr:to>
      <xdr:col>29</xdr:col>
      <xdr:colOff>767465</xdr:colOff>
      <xdr:row>57</xdr:row>
      <xdr:rowOff>42722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F07AD85-ACE1-2164-910B-EA4B19BE1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18677</xdr:colOff>
      <xdr:row>32</xdr:row>
      <xdr:rowOff>89300</xdr:rowOff>
    </xdr:from>
    <xdr:to>
      <xdr:col>28</xdr:col>
      <xdr:colOff>285377</xdr:colOff>
      <xdr:row>67</xdr:row>
      <xdr:rowOff>81830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346DB37-0A21-0F75-CEE5-855A79719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190500</xdr:rowOff>
    </xdr:from>
    <xdr:to>
      <xdr:col>19</xdr:col>
      <xdr:colOff>419100</xdr:colOff>
      <xdr:row>34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4887417-B6A7-8164-88DF-33795605E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0.1976</cdr:x>
      <cdr:y>0.86649</cdr:y>
    </cdr:from>
    <cdr:to>
      <cdr:x>0.90899</cdr:x>
      <cdr:y>0.95349</cdr:y>
    </cdr:to>
    <cdr:grpSp>
      <cdr:nvGrpSpPr>
        <cdr:cNvPr id="5" name="グループ化 4">
          <a:extLst xmlns:a="http://schemas.openxmlformats.org/drawingml/2006/main">
            <a:ext uri="{FF2B5EF4-FFF2-40B4-BE49-F238E27FC236}">
              <a16:creationId xmlns:a16="http://schemas.microsoft.com/office/drawing/2014/main" id="{E8309861-8545-069C-279B-14456D6DEA57}"/>
            </a:ext>
          </a:extLst>
        </cdr:cNvPr>
        <cdr:cNvGrpSpPr/>
      </cdr:nvGrpSpPr>
      <cdr:grpSpPr>
        <a:xfrm xmlns:a="http://schemas.openxmlformats.org/drawingml/2006/main">
          <a:off x="2717810" y="4258712"/>
          <a:ext cx="9784529" cy="427596"/>
          <a:chOff x="2717800" y="4258734"/>
          <a:chExt cx="9784521" cy="427568"/>
        </a:xfrm>
      </cdr:grpSpPr>
      <cdr:sp macro="" textlink="">
        <cdr:nvSpPr>
          <cdr:cNvPr id="2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E733E748-3D00-7DD9-012C-8EEDE6D9CD4E}"/>
              </a:ext>
            </a:extLst>
          </cdr:cNvPr>
          <cdr:cNvSpPr txBox="1"/>
        </cdr:nvSpPr>
        <cdr:spPr>
          <a:xfrm xmlns:a="http://schemas.openxmlformats.org/drawingml/2006/main">
            <a:off x="2717800" y="4260973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2nodes</a:t>
            </a:r>
            <a:endParaRPr lang="ja-JP" altLang="en-US" sz="2000" b="1" kern="1200"/>
          </a:p>
        </cdr:txBody>
      </cdr:sp>
      <cdr:sp macro="" textlink="">
        <cdr:nvSpPr>
          <cdr:cNvPr id="3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426601AE-5A42-C568-11A4-9BDF91536DF8}"/>
              </a:ext>
            </a:extLst>
          </cdr:cNvPr>
          <cdr:cNvSpPr txBox="1"/>
        </cdr:nvSpPr>
        <cdr:spPr>
          <a:xfrm xmlns:a="http://schemas.openxmlformats.org/drawingml/2006/main">
            <a:off x="6897617" y="4279900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4nodes</a:t>
            </a:r>
            <a:endParaRPr lang="ja-JP" altLang="en-US" sz="2000" b="1" kern="1200"/>
          </a:p>
        </cdr:txBody>
      </cdr:sp>
      <cdr:sp macro="" textlink="">
        <cdr:nvSpPr>
          <cdr:cNvPr id="4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C3AF26E8-7367-D703-3C79-1B8D5BC0BFAF}"/>
              </a:ext>
            </a:extLst>
          </cdr:cNvPr>
          <cdr:cNvSpPr txBox="1"/>
        </cdr:nvSpPr>
        <cdr:spPr>
          <a:xfrm xmlns:a="http://schemas.openxmlformats.org/drawingml/2006/main">
            <a:off x="11232321" y="4258734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8nodes</a:t>
            </a:r>
            <a:endParaRPr lang="ja-JP" altLang="en-US" sz="2000" b="1" kern="1200"/>
          </a:p>
        </cdr:txBody>
      </cdr: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1828800</xdr:colOff>
      <xdr:row>54</xdr:row>
      <xdr:rowOff>228600</xdr:rowOff>
    </xdr:from>
    <xdr:to>
      <xdr:col>20</xdr:col>
      <xdr:colOff>927100</xdr:colOff>
      <xdr:row>83</xdr:row>
      <xdr:rowOff>228600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C0B9DBC5-1ED1-2FC3-D163-ABA43D7CC103}"/>
            </a:ext>
          </a:extLst>
        </xdr:cNvPr>
        <xdr:cNvGrpSpPr/>
      </xdr:nvGrpSpPr>
      <xdr:grpSpPr>
        <a:xfrm>
          <a:off x="17001067" y="13944600"/>
          <a:ext cx="12628033" cy="7366000"/>
          <a:chOff x="6121400" y="3390900"/>
          <a:chExt cx="9817100" cy="5295900"/>
        </a:xfrm>
      </xdr:grpSpPr>
      <xdr:graphicFrame macro="">
        <xdr:nvGraphicFramePr>
          <xdr:cNvPr id="7" name="グラフ 6">
            <a:extLst>
              <a:ext uri="{FF2B5EF4-FFF2-40B4-BE49-F238E27FC236}">
                <a16:creationId xmlns:a16="http://schemas.microsoft.com/office/drawing/2014/main" id="{F7AF7285-962C-26A0-185A-F213A485E406}"/>
              </a:ext>
            </a:extLst>
          </xdr:cNvPr>
          <xdr:cNvGraphicFramePr/>
        </xdr:nvGraphicFramePr>
        <xdr:xfrm>
          <a:off x="6121400" y="3390900"/>
          <a:ext cx="9817100" cy="5295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テキスト ボックス 1">
            <a:extLst>
              <a:ext uri="{FF2B5EF4-FFF2-40B4-BE49-F238E27FC236}">
                <a16:creationId xmlns:a16="http://schemas.microsoft.com/office/drawing/2014/main" id="{20F579EA-29AB-8480-6C23-0AACA4BA3AD6}"/>
              </a:ext>
            </a:extLst>
          </xdr:cNvPr>
          <xdr:cNvSpPr txBox="1"/>
        </xdr:nvSpPr>
        <xdr:spPr>
          <a:xfrm>
            <a:off x="8788400" y="80391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2nodes</a:t>
            </a:r>
            <a:endParaRPr lang="ja-JP" altLang="en-US" sz="2000" b="1" kern="1200"/>
          </a:p>
        </xdr:txBody>
      </xdr:sp>
      <xdr:sp macro="" textlink="">
        <xdr:nvSpPr>
          <xdr:cNvPr id="9" name="テキスト ボックス 1">
            <a:extLst>
              <a:ext uri="{FF2B5EF4-FFF2-40B4-BE49-F238E27FC236}">
                <a16:creationId xmlns:a16="http://schemas.microsoft.com/office/drawing/2014/main" id="{ED59A7F8-AE30-27D4-A3CC-32D30636DBF7}"/>
              </a:ext>
            </a:extLst>
          </xdr:cNvPr>
          <xdr:cNvSpPr txBox="1"/>
        </xdr:nvSpPr>
        <xdr:spPr>
          <a:xfrm>
            <a:off x="13269300" y="80264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4nodes</a:t>
            </a:r>
            <a:endParaRPr lang="ja-JP" altLang="en-US" sz="2000" b="1" kern="1200"/>
          </a:p>
        </xdr:txBody>
      </xdr:sp>
    </xdr:grpSp>
    <xdr:clientData/>
  </xdr:twoCellAnchor>
  <xdr:twoCellAnchor>
    <xdr:from>
      <xdr:col>8</xdr:col>
      <xdr:colOff>1765300</xdr:colOff>
      <xdr:row>25</xdr:row>
      <xdr:rowOff>228600</xdr:rowOff>
    </xdr:from>
    <xdr:to>
      <xdr:col>18</xdr:col>
      <xdr:colOff>330200</xdr:colOff>
      <xdr:row>49</xdr:row>
      <xdr:rowOff>88900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6C3485A-ED81-16F2-41E1-FDD643ED5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45E62C-4E4B-944E-8874-EF151DB1E760}" autoFormatId="20" applyNumberFormats="0" applyBorderFormats="0" applyFontFormats="0" applyPatternFormats="0" applyAlignmentFormats="0" applyWidthHeightFormats="0">
  <queryTableRefresh nextId="9">
    <queryTableFields count="8">
      <queryTableField id="1" name="env" tableColumnId="1"/>
      <queryTableField id="2" name="enc" tableColumnId="2"/>
      <queryTableField id="3" name="case" tableColumnId="3"/>
      <queryTableField id="4" name="procs" tableColumnId="4"/>
      <queryTableField id="5" name="run" tableColumnId="5"/>
      <queryTableField id="6" name="node_tag" tableColumnId="6"/>
      <queryTableField id="7" name="seconds" tableColumnId="7"/>
      <queryTableField id="8" name="fil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63AC9-A357-C147-B28C-853137A62733}" name="pennant_leblancbig_records" displayName="pennant_leblancbig_records" ref="A1:H82" tableType="queryTable" totalsRowShown="0">
  <autoFilter ref="A1:H82" xr:uid="{3C163AC9-A357-C147-B28C-853137A62733}">
    <filterColumn colId="3">
      <filters>
        <filter val="1"/>
      </filters>
    </filterColumn>
  </autoFilter>
  <tableColumns count="8">
    <tableColumn id="1" xr3:uid="{4B47113B-61EA-FC43-9DB4-AFAE2403492F}" uniqueName="1" name="env" queryTableFieldId="1" dataDxfId="4"/>
    <tableColumn id="2" xr3:uid="{672CEDA7-C9DD-AC48-BD7F-4B83548D9BA1}" uniqueName="2" name="enc" queryTableFieldId="2" dataDxfId="3"/>
    <tableColumn id="3" xr3:uid="{55BF75CF-24D6-6246-9626-2DD5513CEB13}" uniqueName="3" name="case" queryTableFieldId="3" dataDxfId="2"/>
    <tableColumn id="4" xr3:uid="{F122811F-714B-3944-A363-B1CAED02E632}" uniqueName="4" name="procs" queryTableFieldId="4"/>
    <tableColumn id="5" xr3:uid="{BB92B032-48B1-B441-ABB6-D5539FBB3B6E}" uniqueName="5" name="run" queryTableFieldId="5"/>
    <tableColumn id="6" xr3:uid="{BD6D347A-AECD-F746-9034-96E8634DCD52}" uniqueName="6" name="node_tag" queryTableFieldId="6" dataDxfId="1"/>
    <tableColumn id="7" xr3:uid="{7D564F49-BD89-5243-A758-671BE1FE0A8D}" uniqueName="7" name="seconds" queryTableFieldId="7"/>
    <tableColumn id="8" xr3:uid="{71F1B228-A6DC-3542-BEAA-B8A3BD88CE81}" uniqueName="8" name="fil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D000-EB39-8546-A6F9-3B49B61272DE}">
  <dimension ref="A1:E2"/>
  <sheetViews>
    <sheetView workbookViewId="0">
      <selection activeCell="B2" sqref="B2"/>
    </sheetView>
  </sheetViews>
  <sheetFormatPr baseColWidth="10" defaultRowHeight="20"/>
  <cols>
    <col min="2" max="2" width="30.28515625" customWidth="1"/>
    <col min="3" max="3" width="26.42578125" customWidth="1"/>
    <col min="4" max="4" width="27.28515625" customWidth="1"/>
    <col min="5" max="5" width="34.5703125" customWidth="1"/>
    <col min="6" max="6" width="32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0BF3-7780-0B46-BD48-8BE2E066E3CB}">
  <dimension ref="A1:H52"/>
  <sheetViews>
    <sheetView tabSelected="1" topLeftCell="A23" zoomScale="64" workbookViewId="0">
      <selection activeCell="J18" sqref="J18"/>
    </sheetView>
  </sheetViews>
  <sheetFormatPr baseColWidth="10" defaultRowHeight="20"/>
  <cols>
    <col min="2" max="2" width="31.7109375" customWidth="1"/>
    <col min="3" max="3" width="25.5703125" customWidth="1"/>
    <col min="4" max="4" width="24.42578125" customWidth="1"/>
    <col min="5" max="5" width="27.5703125" customWidth="1"/>
    <col min="6" max="6" width="28.140625" customWidth="1"/>
  </cols>
  <sheetData>
    <row r="1" spans="1:6">
      <c r="A1" t="s">
        <v>142</v>
      </c>
      <c r="B1" t="s">
        <v>0</v>
      </c>
      <c r="C1" t="s">
        <v>1</v>
      </c>
      <c r="D1" t="s">
        <v>2</v>
      </c>
      <c r="E1" t="s">
        <v>3</v>
      </c>
    </row>
    <row r="2" spans="1:6">
      <c r="A2" t="s">
        <v>4</v>
      </c>
    </row>
    <row r="3" spans="1:6">
      <c r="A3" t="s">
        <v>5</v>
      </c>
    </row>
    <row r="4" spans="1:6">
      <c r="A4" t="s">
        <v>6</v>
      </c>
    </row>
    <row r="5" spans="1:6">
      <c r="A5" t="s">
        <v>7</v>
      </c>
    </row>
    <row r="6" spans="1:6">
      <c r="A6" t="s">
        <v>8</v>
      </c>
    </row>
    <row r="10" spans="1:6">
      <c r="A10" t="s">
        <v>40</v>
      </c>
      <c r="B10" t="s">
        <v>0</v>
      </c>
      <c r="C10" t="s">
        <v>1</v>
      </c>
      <c r="D10" t="s">
        <v>2</v>
      </c>
      <c r="E10" t="s">
        <v>3</v>
      </c>
    </row>
    <row r="11" spans="1:6">
      <c r="A11" t="s">
        <v>4</v>
      </c>
      <c r="B11">
        <v>5624.8608000000004</v>
      </c>
      <c r="C11" s="1">
        <v>5060.4201999999996</v>
      </c>
      <c r="D11" s="1">
        <v>515.29656</v>
      </c>
      <c r="E11" s="1">
        <v>458.90771000000001</v>
      </c>
    </row>
    <row r="12" spans="1:6">
      <c r="A12" t="s">
        <v>5</v>
      </c>
      <c r="B12">
        <v>15699.045</v>
      </c>
      <c r="C12">
        <v>15118.303</v>
      </c>
      <c r="D12" s="1">
        <v>3822.7582000000002</v>
      </c>
      <c r="E12" s="1">
        <v>2775.8040000000001</v>
      </c>
    </row>
    <row r="13" spans="1:6">
      <c r="A13" t="s">
        <v>6</v>
      </c>
      <c r="B13">
        <v>18779.967000000001</v>
      </c>
      <c r="C13">
        <v>17977.436000000002</v>
      </c>
      <c r="D13" s="1">
        <v>9972.3084999999992</v>
      </c>
      <c r="E13" s="1">
        <v>6236.6351000000004</v>
      </c>
    </row>
    <row r="14" spans="1:6">
      <c r="A14" t="s">
        <v>7</v>
      </c>
      <c r="B14">
        <v>20979.945</v>
      </c>
      <c r="C14">
        <v>20599.544999999998</v>
      </c>
      <c r="D14" s="1">
        <v>15255.33</v>
      </c>
      <c r="E14" s="1">
        <v>9290.0851999999995</v>
      </c>
    </row>
    <row r="15" spans="1:6">
      <c r="A15" t="s">
        <v>8</v>
      </c>
      <c r="B15">
        <v>20975.732</v>
      </c>
      <c r="C15">
        <v>20710.399000000001</v>
      </c>
      <c r="D15" s="1">
        <v>19663.131000000001</v>
      </c>
      <c r="E15" s="1">
        <v>11267.638000000001</v>
      </c>
      <c r="F15">
        <f>1-E15/B15</f>
        <v>0.46282503990802315</v>
      </c>
    </row>
    <row r="16" spans="1:6">
      <c r="A16" t="s">
        <v>9</v>
      </c>
      <c r="B16">
        <v>20176.681</v>
      </c>
      <c r="C16">
        <v>19919.598000000002</v>
      </c>
      <c r="D16" s="1">
        <v>21176.672999999999</v>
      </c>
      <c r="E16" s="1">
        <v>12649.531000000001</v>
      </c>
    </row>
    <row r="18" spans="1:8">
      <c r="A18" t="s">
        <v>41</v>
      </c>
      <c r="B18" t="s">
        <v>0</v>
      </c>
      <c r="C18" t="s">
        <v>1</v>
      </c>
      <c r="D18" t="s">
        <v>2</v>
      </c>
      <c r="E18" t="s">
        <v>3</v>
      </c>
    </row>
    <row r="19" spans="1:8">
      <c r="A19" t="s">
        <v>4</v>
      </c>
      <c r="B19">
        <v>5418.2273999999998</v>
      </c>
      <c r="C19">
        <v>4991.1394</v>
      </c>
      <c r="D19">
        <v>594.53195000000005</v>
      </c>
      <c r="E19">
        <v>482.13216999999997</v>
      </c>
      <c r="F19">
        <f>1-E19/B19</f>
        <v>0.91101662325948152</v>
      </c>
      <c r="G19">
        <f>1-C19/B19</f>
        <v>7.8824303313662969E-2</v>
      </c>
      <c r="H19">
        <f>1-E19/D19</f>
        <v>0.18905591196570692</v>
      </c>
    </row>
    <row r="20" spans="1:8">
      <c r="A20" t="s">
        <v>5</v>
      </c>
      <c r="B20">
        <v>21121.981</v>
      </c>
      <c r="C20">
        <v>20420.144</v>
      </c>
      <c r="D20">
        <v>4347.7960999999996</v>
      </c>
      <c r="E20">
        <v>3220.1873000000001</v>
      </c>
      <c r="F20">
        <f t="shared" ref="F20:F24" si="0">1-E20/B20</f>
        <v>0.84754331044990527</v>
      </c>
      <c r="G20">
        <f t="shared" ref="G20:G24" si="1">1-C20/B20</f>
        <v>3.3227801880893582E-2</v>
      </c>
      <c r="H20">
        <f t="shared" ref="H20:H24" si="2">1-E20/D20</f>
        <v>0.2593518127494524</v>
      </c>
    </row>
    <row r="21" spans="1:8">
      <c r="A21" t="s">
        <v>6</v>
      </c>
      <c r="B21">
        <v>30642.467000000001</v>
      </c>
      <c r="C21">
        <v>29674.716</v>
      </c>
      <c r="D21">
        <v>11880.457</v>
      </c>
      <c r="E21">
        <v>8538.6028000000006</v>
      </c>
      <c r="F21">
        <f t="shared" si="0"/>
        <v>0.72134740978916612</v>
      </c>
      <c r="G21">
        <f t="shared" si="1"/>
        <v>3.1582019815832751E-2</v>
      </c>
      <c r="H21">
        <f t="shared" si="2"/>
        <v>0.28129003791689156</v>
      </c>
    </row>
    <row r="22" spans="1:8">
      <c r="A22" t="s">
        <v>7</v>
      </c>
      <c r="B22">
        <v>35584.966</v>
      </c>
      <c r="C22">
        <v>34855.398999999998</v>
      </c>
      <c r="D22">
        <v>21084.585999999999</v>
      </c>
      <c r="E22">
        <v>13349.763999999999</v>
      </c>
      <c r="F22">
        <f t="shared" si="0"/>
        <v>0.62484820134435426</v>
      </c>
      <c r="G22">
        <f t="shared" si="1"/>
        <v>2.0502113167678804E-2</v>
      </c>
      <c r="H22">
        <f t="shared" si="2"/>
        <v>0.36684723143247866</v>
      </c>
    </row>
    <row r="23" spans="1:8">
      <c r="A23" t="s">
        <v>8</v>
      </c>
      <c r="B23">
        <v>37600.175000000003</v>
      </c>
      <c r="C23">
        <v>37267.324999999997</v>
      </c>
      <c r="D23">
        <v>28797.251</v>
      </c>
      <c r="E23">
        <v>19210.503000000001</v>
      </c>
      <c r="F23">
        <f>1-E23/B23</f>
        <v>0.48908474495132004</v>
      </c>
      <c r="G23">
        <f t="shared" si="1"/>
        <v>8.8523524159130895E-3</v>
      </c>
      <c r="H23">
        <f t="shared" si="2"/>
        <v>0.33290497068626446</v>
      </c>
    </row>
    <row r="24" spans="1:8">
      <c r="A24" t="s">
        <v>9</v>
      </c>
      <c r="B24">
        <v>37387.337</v>
      </c>
      <c r="C24">
        <v>36867.728000000003</v>
      </c>
      <c r="D24">
        <v>33854.976000000002</v>
      </c>
      <c r="E24">
        <v>20424.334999999999</v>
      </c>
      <c r="F24">
        <f t="shared" si="0"/>
        <v>0.45370982159012829</v>
      </c>
      <c r="G24">
        <f t="shared" si="1"/>
        <v>1.3897994393128221E-2</v>
      </c>
      <c r="H24">
        <f t="shared" si="2"/>
        <v>0.39671098865939236</v>
      </c>
    </row>
    <row r="26" spans="1:8">
      <c r="A26" t="s">
        <v>42</v>
      </c>
      <c r="B26" t="s">
        <v>0</v>
      </c>
      <c r="C26" t="s">
        <v>1</v>
      </c>
      <c r="D26" t="s">
        <v>2</v>
      </c>
      <c r="E26" t="s">
        <v>3</v>
      </c>
    </row>
    <row r="27" spans="1:8">
      <c r="A27" t="s">
        <v>4</v>
      </c>
      <c r="B27" s="1">
        <v>3719.0635000000002</v>
      </c>
      <c r="C27" s="1">
        <v>3591.8901000000001</v>
      </c>
      <c r="D27" s="1">
        <v>437.13639000000001</v>
      </c>
      <c r="E27" s="1">
        <v>358.32046000000003</v>
      </c>
    </row>
    <row r="28" spans="1:8">
      <c r="A28" t="s">
        <v>5</v>
      </c>
      <c r="B28" s="1">
        <v>16212.142</v>
      </c>
      <c r="C28" s="1">
        <v>15776.048000000001</v>
      </c>
      <c r="D28" s="1">
        <v>2456.152</v>
      </c>
      <c r="E28" s="1">
        <v>3433.8227999999999</v>
      </c>
    </row>
    <row r="29" spans="1:8">
      <c r="A29" t="s">
        <v>6</v>
      </c>
      <c r="B29" s="1">
        <v>27820.195</v>
      </c>
      <c r="C29" s="1">
        <v>26446.14</v>
      </c>
      <c r="D29" s="1">
        <v>11419.18</v>
      </c>
      <c r="E29" s="1">
        <v>9365.2703999999994</v>
      </c>
    </row>
    <row r="30" spans="1:8">
      <c r="A30" t="s">
        <v>7</v>
      </c>
      <c r="B30" s="1">
        <v>38336.667999999998</v>
      </c>
      <c r="C30" s="1">
        <v>37519.491999999998</v>
      </c>
      <c r="D30" s="1">
        <v>21382.6</v>
      </c>
      <c r="E30" s="1">
        <v>14998.985000000001</v>
      </c>
    </row>
    <row r="31" spans="1:8">
      <c r="A31" t="s">
        <v>8</v>
      </c>
      <c r="B31" s="1">
        <v>43164.962</v>
      </c>
      <c r="C31" s="1">
        <v>41001.682000000001</v>
      </c>
      <c r="D31" s="1">
        <v>31522.866000000002</v>
      </c>
      <c r="E31" s="1">
        <v>22658.851999999999</v>
      </c>
      <c r="F31">
        <f>1-E31/B31</f>
        <v>0.47506377973876124</v>
      </c>
    </row>
    <row r="32" spans="1:8">
      <c r="A32" t="s">
        <v>9</v>
      </c>
      <c r="B32" s="1">
        <v>43563.91</v>
      </c>
      <c r="C32" s="1">
        <v>43092.635999999999</v>
      </c>
      <c r="D32" s="1">
        <v>37562.146000000001</v>
      </c>
      <c r="E32" s="1">
        <v>25389.52</v>
      </c>
    </row>
    <row r="35" spans="1:6">
      <c r="B35">
        <f>B24/B16</f>
        <v>1.852997378508388</v>
      </c>
      <c r="E35">
        <f>E32/E16</f>
        <v>2.0071510951670857</v>
      </c>
    </row>
    <row r="36" spans="1:6">
      <c r="B36">
        <f>B32/B16</f>
        <v>2.1591217108502634</v>
      </c>
      <c r="E36">
        <f>E24/E16</f>
        <v>1.6146317993924042</v>
      </c>
    </row>
    <row r="37" spans="1:6">
      <c r="B37">
        <v>1.85</v>
      </c>
    </row>
    <row r="42" spans="1:6">
      <c r="B42">
        <f>B31/B15</f>
        <v>2.0578524744690672</v>
      </c>
      <c r="E42">
        <f>E31/E15</f>
        <v>2.0109673384963198</v>
      </c>
    </row>
    <row r="43" spans="1:6">
      <c r="A43" t="s">
        <v>44</v>
      </c>
    </row>
    <row r="44" spans="1:6">
      <c r="A44" t="s">
        <v>40</v>
      </c>
      <c r="B44">
        <v>20975.732</v>
      </c>
      <c r="C44">
        <v>20710.399000000001</v>
      </c>
      <c r="D44" s="1">
        <v>19663.131000000001</v>
      </c>
      <c r="E44" s="1">
        <v>11267.638000000001</v>
      </c>
      <c r="F44" s="1"/>
    </row>
    <row r="45" spans="1:6">
      <c r="A45" t="s">
        <v>41</v>
      </c>
      <c r="B45">
        <v>37600.175000000003</v>
      </c>
      <c r="C45">
        <v>37267.324999999997</v>
      </c>
      <c r="D45">
        <v>28797.251</v>
      </c>
      <c r="E45">
        <v>19210.503000000001</v>
      </c>
    </row>
    <row r="46" spans="1:6">
      <c r="A46" t="s">
        <v>42</v>
      </c>
      <c r="B46" s="1">
        <v>43164.962</v>
      </c>
      <c r="C46" s="1">
        <v>41001.682000000001</v>
      </c>
      <c r="D46" s="1">
        <v>31522.866000000002</v>
      </c>
      <c r="E46" s="1">
        <v>22658.851999999999</v>
      </c>
    </row>
    <row r="48" spans="1:6">
      <c r="A48" t="s">
        <v>45</v>
      </c>
    </row>
    <row r="49" spans="2:5">
      <c r="B49">
        <f>B44/E44</f>
        <v>1.8615908675802328</v>
      </c>
      <c r="C49">
        <f>C44/E44</f>
        <v>1.8380426314725411</v>
      </c>
      <c r="D49">
        <f>D44/E44</f>
        <v>1.7450978634563872</v>
      </c>
      <c r="E49">
        <f>E44/E44</f>
        <v>1</v>
      </c>
    </row>
    <row r="50" spans="2:5">
      <c r="B50">
        <f>B45/E44</f>
        <v>3.3370059457004211</v>
      </c>
      <c r="C50">
        <f>C45/E44</f>
        <v>3.3074655930550834</v>
      </c>
      <c r="D50">
        <f>D45/E44</f>
        <v>2.5557486848619027</v>
      </c>
      <c r="E50">
        <f>E45/E44</f>
        <v>1.704927243846492</v>
      </c>
    </row>
    <row r="51" spans="2:5">
      <c r="B51">
        <f>B46/E44</f>
        <v>3.8308793732990001</v>
      </c>
      <c r="C51">
        <f>C46/E44</f>
        <v>3.6388888247918505</v>
      </c>
      <c r="D51">
        <f>D46/E44</f>
        <v>2.7976463212609421</v>
      </c>
      <c r="E51">
        <f>E46/E44</f>
        <v>2.0109673384963198</v>
      </c>
    </row>
    <row r="52" spans="2:5">
      <c r="B52">
        <f>B51/B49</f>
        <v>2.0578524744690672</v>
      </c>
      <c r="E52">
        <f>E51/E49</f>
        <v>2.0109673384963198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2183-B579-2743-A7F1-3466D4A851C7}">
  <dimension ref="A1:G57"/>
  <sheetViews>
    <sheetView topLeftCell="I41" zoomScale="68" workbookViewId="0">
      <selection activeCell="O50" sqref="O50"/>
    </sheetView>
  </sheetViews>
  <sheetFormatPr baseColWidth="10" defaultRowHeight="20"/>
  <cols>
    <col min="1" max="1" width="23.42578125" customWidth="1"/>
    <col min="2" max="2" width="23.28515625" customWidth="1"/>
    <col min="3" max="3" width="22" customWidth="1"/>
    <col min="4" max="4" width="19.85546875" customWidth="1"/>
    <col min="5" max="5" width="29" customWidth="1"/>
    <col min="6" max="6" width="20.28515625" customWidth="1"/>
  </cols>
  <sheetData>
    <row r="1" spans="1:6">
      <c r="A1" t="s">
        <v>147</v>
      </c>
      <c r="B1" t="s">
        <v>0</v>
      </c>
      <c r="C1" t="s">
        <v>1</v>
      </c>
      <c r="D1" t="s">
        <v>2</v>
      </c>
      <c r="E1" t="s">
        <v>3</v>
      </c>
    </row>
    <row r="2" spans="1:6">
      <c r="A2" t="s">
        <v>13</v>
      </c>
      <c r="B2">
        <v>27.834579999999999</v>
      </c>
      <c r="C2">
        <v>27.57225</v>
      </c>
      <c r="D2">
        <v>33.844239999999999</v>
      </c>
      <c r="E2">
        <v>42.456609999999998</v>
      </c>
    </row>
    <row r="3" spans="1:6">
      <c r="A3" t="s">
        <v>14</v>
      </c>
      <c r="B3">
        <v>27.509460000000001</v>
      </c>
      <c r="C3">
        <v>27.524349999999998</v>
      </c>
      <c r="D3">
        <v>33.996020000000001</v>
      </c>
      <c r="E3">
        <v>42.221209999999999</v>
      </c>
    </row>
    <row r="4" spans="1:6">
      <c r="A4" t="s">
        <v>15</v>
      </c>
      <c r="B4">
        <v>27.4529</v>
      </c>
      <c r="C4">
        <v>27.130379999999999</v>
      </c>
      <c r="D4">
        <v>33.878030000000003</v>
      </c>
      <c r="E4">
        <v>42.224170000000001</v>
      </c>
    </row>
    <row r="5" spans="1:6">
      <c r="A5" t="s">
        <v>16</v>
      </c>
      <c r="B5">
        <v>27.481940000000002</v>
      </c>
      <c r="C5">
        <v>27.24183</v>
      </c>
      <c r="D5">
        <v>33.917140000000003</v>
      </c>
      <c r="E5">
        <v>42.23753</v>
      </c>
    </row>
    <row r="6" spans="1:6">
      <c r="A6" t="s">
        <v>17</v>
      </c>
      <c r="B6">
        <v>27.510400000000001</v>
      </c>
      <c r="C6">
        <v>27.297910000000002</v>
      </c>
      <c r="D6">
        <v>34.006790000000002</v>
      </c>
      <c r="E6">
        <v>42.29569</v>
      </c>
    </row>
    <row r="7" spans="1:6">
      <c r="A7" t="s">
        <v>18</v>
      </c>
      <c r="B7">
        <f>AVERAGE(B2:B6)</f>
        <v>27.557856000000005</v>
      </c>
      <c r="C7">
        <f t="shared" ref="C7:E7" si="0">AVERAGE(C2:C6)</f>
        <v>27.353344</v>
      </c>
      <c r="D7">
        <f t="shared" si="0"/>
        <v>33.928443999999999</v>
      </c>
      <c r="E7">
        <f t="shared" si="0"/>
        <v>42.287042</v>
      </c>
    </row>
    <row r="13" spans="1:6">
      <c r="A13" t="s">
        <v>10</v>
      </c>
      <c r="B13" t="s">
        <v>0</v>
      </c>
      <c r="C13" t="s">
        <v>1</v>
      </c>
      <c r="D13" t="s">
        <v>2</v>
      </c>
      <c r="E13" t="s">
        <v>3</v>
      </c>
      <c r="F13" t="s">
        <v>19</v>
      </c>
    </row>
    <row r="14" spans="1:6">
      <c r="A14" t="s">
        <v>13</v>
      </c>
      <c r="B14">
        <v>14.16287</v>
      </c>
      <c r="C14">
        <v>14.68962</v>
      </c>
      <c r="D14">
        <v>19.613350000000001</v>
      </c>
      <c r="E14">
        <v>28.37274</v>
      </c>
    </row>
    <row r="15" spans="1:6">
      <c r="A15" t="s">
        <v>14</v>
      </c>
      <c r="B15">
        <v>14.31396</v>
      </c>
      <c r="C15">
        <v>14.250859999999999</v>
      </c>
      <c r="D15">
        <v>19.465399999999999</v>
      </c>
      <c r="E15">
        <v>28.348870000000002</v>
      </c>
    </row>
    <row r="16" spans="1:6">
      <c r="A16" t="s">
        <v>15</v>
      </c>
      <c r="B16">
        <v>14.192640000000001</v>
      </c>
      <c r="C16">
        <v>14.397740000000001</v>
      </c>
      <c r="D16">
        <v>19.45636</v>
      </c>
      <c r="E16">
        <v>28.125540000000001</v>
      </c>
    </row>
    <row r="17" spans="1:7">
      <c r="A17" t="s">
        <v>16</v>
      </c>
      <c r="B17">
        <v>14.232060000000001</v>
      </c>
      <c r="C17">
        <v>14.074109999999999</v>
      </c>
      <c r="D17">
        <v>19.44303</v>
      </c>
      <c r="E17">
        <v>28.211559999999999</v>
      </c>
    </row>
    <row r="18" spans="1:7">
      <c r="A18" t="s">
        <v>17</v>
      </c>
      <c r="C18">
        <v>14.31316</v>
      </c>
      <c r="D18">
        <v>19.411000000000001</v>
      </c>
      <c r="E18">
        <v>28.130140000000001</v>
      </c>
    </row>
    <row r="19" spans="1:7">
      <c r="A19" t="s">
        <v>18</v>
      </c>
      <c r="B19">
        <f>AVERAGE(B14:B18)</f>
        <v>14.225382500000002</v>
      </c>
      <c r="C19">
        <f t="shared" ref="C19:E19" si="1">AVERAGE(C14:C18)</f>
        <v>14.345097999999998</v>
      </c>
      <c r="D19">
        <f t="shared" si="1"/>
        <v>19.477827999999999</v>
      </c>
      <c r="E19">
        <f t="shared" si="1"/>
        <v>28.237770000000001</v>
      </c>
      <c r="F19">
        <f>1-B19/E19</f>
        <v>0.49622854425119256</v>
      </c>
      <c r="G19">
        <f>E19/B19</f>
        <v>1.985027116142571</v>
      </c>
    </row>
    <row r="20" spans="1:7">
      <c r="A20" t="s">
        <v>21</v>
      </c>
      <c r="B20">
        <f>B19/B19</f>
        <v>1</v>
      </c>
      <c r="C20">
        <f>C19/B19</f>
        <v>1.0084156260824619</v>
      </c>
      <c r="D20">
        <f t="shared" ref="D20:E20" si="2">D19/C19</f>
        <v>1.3578037598627768</v>
      </c>
      <c r="E20">
        <f t="shared" si="2"/>
        <v>1.4497391598282932</v>
      </c>
    </row>
    <row r="22" spans="1:7">
      <c r="A22" t="s">
        <v>11</v>
      </c>
      <c r="B22" t="s">
        <v>0</v>
      </c>
      <c r="C22" t="s">
        <v>1</v>
      </c>
      <c r="D22" t="s">
        <v>2</v>
      </c>
      <c r="E22" t="s">
        <v>3</v>
      </c>
    </row>
    <row r="23" spans="1:7">
      <c r="A23" t="s">
        <v>13</v>
      </c>
      <c r="B23">
        <v>7.0149980000000003</v>
      </c>
      <c r="C23">
        <v>7.3024519999999997</v>
      </c>
      <c r="D23">
        <v>11.613630000000001</v>
      </c>
      <c r="E23">
        <v>20.981999999999999</v>
      </c>
    </row>
    <row r="24" spans="1:7">
      <c r="A24" t="s">
        <v>14</v>
      </c>
      <c r="B24">
        <v>7.9112039999999997</v>
      </c>
      <c r="C24">
        <v>7.3257510000000003</v>
      </c>
      <c r="D24">
        <v>11.639849999999999</v>
      </c>
      <c r="E24">
        <v>20.62595</v>
      </c>
    </row>
    <row r="25" spans="1:7">
      <c r="A25" t="s">
        <v>15</v>
      </c>
      <c r="B25">
        <v>7.1713050000000003</v>
      </c>
      <c r="C25">
        <v>7.2629049999999999</v>
      </c>
      <c r="D25">
        <v>11.943110000000001</v>
      </c>
      <c r="E25">
        <v>20.62379</v>
      </c>
    </row>
    <row r="26" spans="1:7">
      <c r="A26" t="s">
        <v>16</v>
      </c>
      <c r="B26">
        <v>7.1939359999999999</v>
      </c>
      <c r="C26">
        <v>7.288373</v>
      </c>
      <c r="D26">
        <v>11.617710000000001</v>
      </c>
      <c r="E26">
        <v>20.489879999999999</v>
      </c>
    </row>
    <row r="27" spans="1:7">
      <c r="A27" t="s">
        <v>17</v>
      </c>
      <c r="B27">
        <v>7.2807750000000002</v>
      </c>
      <c r="C27">
        <v>7.2964640000000003</v>
      </c>
      <c r="D27">
        <v>11.5497</v>
      </c>
      <c r="E27">
        <v>20.69642</v>
      </c>
    </row>
    <row r="28" spans="1:7">
      <c r="A28" t="s">
        <v>18</v>
      </c>
      <c r="B28">
        <f>AVERAGE(B23:B27)</f>
        <v>7.3144435999999997</v>
      </c>
      <c r="C28">
        <f t="shared" ref="C28" si="3">AVERAGE(C23:C27)</f>
        <v>7.2951889999999988</v>
      </c>
      <c r="D28">
        <f t="shared" ref="D28" si="4">AVERAGE(D23:D27)</f>
        <v>11.672800000000001</v>
      </c>
      <c r="E28">
        <f t="shared" ref="E28" si="5">AVERAGE(E23:E27)</f>
        <v>20.683608</v>
      </c>
      <c r="F28">
        <f t="shared" ref="F28:F38" si="6">1-B28/E28</f>
        <v>0.6463651989536835</v>
      </c>
      <c r="G28">
        <f>E28/B28</f>
        <v>2.8277759910541933</v>
      </c>
    </row>
    <row r="29" spans="1:7">
      <c r="A29" t="s">
        <v>20</v>
      </c>
      <c r="B29">
        <f>B28/B28</f>
        <v>1</v>
      </c>
      <c r="C29">
        <f>C28/B28</f>
        <v>0.99736759197924485</v>
      </c>
      <c r="D29">
        <f t="shared" ref="D29" si="7">D28/C28</f>
        <v>1.6000682093363177</v>
      </c>
      <c r="E29">
        <f t="shared" ref="E29" si="8">E28/D28</f>
        <v>1.771949146734288</v>
      </c>
    </row>
    <row r="32" spans="1:7">
      <c r="A32" t="s">
        <v>12</v>
      </c>
      <c r="B32" t="s">
        <v>0</v>
      </c>
      <c r="C32" t="s">
        <v>1</v>
      </c>
      <c r="D32" t="s">
        <v>2</v>
      </c>
      <c r="E32" t="s">
        <v>3</v>
      </c>
    </row>
    <row r="33" spans="1:7">
      <c r="A33" t="s">
        <v>13</v>
      </c>
      <c r="B33">
        <v>4.3380219999999996</v>
      </c>
      <c r="C33">
        <v>4.5107689999999998</v>
      </c>
      <c r="D33">
        <v>8.0471939999999993</v>
      </c>
      <c r="E33">
        <v>17.145579999999999</v>
      </c>
    </row>
    <row r="34" spans="1:7">
      <c r="A34" t="s">
        <v>14</v>
      </c>
      <c r="B34">
        <v>4.3100529999999999</v>
      </c>
      <c r="C34">
        <v>4.4431229999999999</v>
      </c>
      <c r="D34">
        <v>8.0378670000000003</v>
      </c>
      <c r="E34">
        <v>17.303840000000001</v>
      </c>
    </row>
    <row r="35" spans="1:7">
      <c r="A35" t="s">
        <v>15</v>
      </c>
      <c r="B35">
        <v>4.3275569999999997</v>
      </c>
      <c r="C35">
        <v>4.4455590000000003</v>
      </c>
      <c r="D35">
        <v>8.0101420000000001</v>
      </c>
      <c r="E35">
        <v>17.138780000000001</v>
      </c>
    </row>
    <row r="36" spans="1:7">
      <c r="A36" t="s">
        <v>16</v>
      </c>
      <c r="B36">
        <v>4.3352430000000002</v>
      </c>
      <c r="C36">
        <v>4.4529310000000004</v>
      </c>
      <c r="D36">
        <v>8.0194150000000004</v>
      </c>
      <c r="E36">
        <v>17.047999999999998</v>
      </c>
    </row>
    <row r="37" spans="1:7">
      <c r="A37" t="s">
        <v>17</v>
      </c>
      <c r="B37">
        <v>4.3029520000000003</v>
      </c>
      <c r="C37">
        <v>4.4435840000000004</v>
      </c>
      <c r="D37">
        <v>8.1196280000000005</v>
      </c>
      <c r="E37">
        <v>17.074159999999999</v>
      </c>
    </row>
    <row r="38" spans="1:7">
      <c r="A38" t="s">
        <v>18</v>
      </c>
      <c r="B38">
        <f>AVERAGE(B33:B37)</f>
        <v>4.3227653999999998</v>
      </c>
      <c r="C38">
        <f t="shared" ref="C38" si="9">AVERAGE(C33:C37)</f>
        <v>4.4591931999999996</v>
      </c>
      <c r="D38">
        <f t="shared" ref="D38" si="10">AVERAGE(D33:D37)</f>
        <v>8.0468492000000005</v>
      </c>
      <c r="E38">
        <f t="shared" ref="E38" si="11">AVERAGE(E33:E37)</f>
        <v>17.142072000000002</v>
      </c>
      <c r="F38">
        <f t="shared" si="6"/>
        <v>0.74782713548280522</v>
      </c>
      <c r="G38">
        <f>E38/B38</f>
        <v>3.965533729866535</v>
      </c>
    </row>
    <row r="39" spans="1:7">
      <c r="A39" t="s">
        <v>20</v>
      </c>
      <c r="B39">
        <f>B38/B38</f>
        <v>1</v>
      </c>
      <c r="C39">
        <f>C38/B38</f>
        <v>1.0315603062798642</v>
      </c>
      <c r="D39">
        <f t="shared" ref="D39" si="12">D38/C38</f>
        <v>1.804552715948706</v>
      </c>
      <c r="E39">
        <f t="shared" ref="E39" si="13">E38/D38</f>
        <v>2.1302837388825431</v>
      </c>
    </row>
    <row r="41" spans="1:7">
      <c r="B41">
        <f>1-(B38/B19)</f>
        <v>0.69612308140044754</v>
      </c>
      <c r="C41">
        <f t="shared" ref="C41:E41" si="14">1-(C38/C19)</f>
        <v>0.689148641577771</v>
      </c>
      <c r="D41">
        <f t="shared" si="14"/>
        <v>0.58687132877444026</v>
      </c>
      <c r="E41">
        <f t="shared" si="14"/>
        <v>0.39293818173318917</v>
      </c>
    </row>
    <row r="43" spans="1:7">
      <c r="B43">
        <f>B19/B28</f>
        <v>1.944834532595207</v>
      </c>
      <c r="E43">
        <f>E19/E28</f>
        <v>1.365224577839611</v>
      </c>
    </row>
    <row r="44" spans="1:7">
      <c r="B44">
        <f>B19/B38</f>
        <v>3.2908060428169437</v>
      </c>
      <c r="E44">
        <f>E19/E38</f>
        <v>1.6472786953642475</v>
      </c>
    </row>
    <row r="47" spans="1:7">
      <c r="B47">
        <f>1-B28/B19</f>
        <v>0.48581743935532151</v>
      </c>
      <c r="E47">
        <f>1-E28/E19</f>
        <v>0.26751977935934745</v>
      </c>
    </row>
    <row r="48" spans="1:7">
      <c r="B48">
        <f>1-B38/B19</f>
        <v>0.69612308140044754</v>
      </c>
      <c r="E48">
        <f>1-E38/E19</f>
        <v>0.39293818173318917</v>
      </c>
    </row>
    <row r="50" spans="1:5">
      <c r="B50">
        <f>B19/B38</f>
        <v>3.2908060428169437</v>
      </c>
      <c r="C50">
        <f t="shared" ref="C50:E50" si="15">C19/C38</f>
        <v>3.216971626167711</v>
      </c>
      <c r="D50">
        <f t="shared" si="15"/>
        <v>2.4205533763451164</v>
      </c>
      <c r="E50">
        <f t="shared" si="15"/>
        <v>1.6472786953642475</v>
      </c>
    </row>
    <row r="52" spans="1:5">
      <c r="A52" t="s">
        <v>43</v>
      </c>
    </row>
    <row r="53" spans="1:5">
      <c r="A53" t="s">
        <v>142</v>
      </c>
      <c r="B53">
        <f>E7/B7</f>
        <v>1.534482290639736</v>
      </c>
      <c r="C53">
        <f>E7/C7</f>
        <v>1.5459551124718061</v>
      </c>
      <c r="D53">
        <f>E7/D7</f>
        <v>1.2463596031695412</v>
      </c>
      <c r="E53">
        <f>E7/E7</f>
        <v>1</v>
      </c>
    </row>
    <row r="54" spans="1:5">
      <c r="A54" t="s">
        <v>40</v>
      </c>
      <c r="B54">
        <f>E7/B19</f>
        <v>2.9726470975385015</v>
      </c>
      <c r="C54">
        <f>E7/C19</f>
        <v>2.9478391852045909</v>
      </c>
      <c r="D54">
        <f>E7/D19</f>
        <v>2.1710347786211073</v>
      </c>
      <c r="E54">
        <f>E7/E19</f>
        <v>1.4975347557544381</v>
      </c>
    </row>
    <row r="55" spans="1:5">
      <c r="A55" t="s">
        <v>41</v>
      </c>
      <c r="B55">
        <f>E7/B28</f>
        <v>5.7813067285117903</v>
      </c>
      <c r="C55">
        <f>E7/C28</f>
        <v>5.7965656544333539</v>
      </c>
      <c r="D55">
        <f>E7/D28</f>
        <v>3.6226990953327394</v>
      </c>
      <c r="E55">
        <f>E7/E28</f>
        <v>2.0444712547249977</v>
      </c>
    </row>
    <row r="56" spans="1:5">
      <c r="A56" t="s">
        <v>42</v>
      </c>
      <c r="B56">
        <f>E7/B38</f>
        <v>9.7824050317419502</v>
      </c>
      <c r="C56">
        <f>E7/C38</f>
        <v>9.4831150173085135</v>
      </c>
      <c r="D56">
        <f>E7/D38</f>
        <v>5.2551055635539932</v>
      </c>
      <c r="E56">
        <f>E7/E38</f>
        <v>2.4668570987217877</v>
      </c>
    </row>
    <row r="57" spans="1:5">
      <c r="B57">
        <f>B56/B54</f>
        <v>3.2908060428169441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E2F7-DC05-2841-9AD9-BE119FABAF5A}">
  <dimension ref="A1:H86"/>
  <sheetViews>
    <sheetView workbookViewId="0">
      <selection activeCell="G43" sqref="G43:G47"/>
    </sheetView>
  </sheetViews>
  <sheetFormatPr baseColWidth="10" defaultRowHeight="20"/>
  <cols>
    <col min="1" max="1" width="6.85546875" bestFit="1" customWidth="1"/>
    <col min="2" max="2" width="7.7109375" bestFit="1" customWidth="1"/>
    <col min="3" max="3" width="9.85546875" bestFit="1" customWidth="1"/>
    <col min="4" max="4" width="8.42578125" bestFit="1" customWidth="1"/>
    <col min="5" max="5" width="6.5703125" bestFit="1" customWidth="1"/>
    <col min="6" max="6" width="11.42578125" bestFit="1" customWidth="1"/>
    <col min="7" max="7" width="10.5703125" bestFit="1" customWidth="1"/>
    <col min="8" max="8" width="80.5703125" bestFit="1" customWidth="1"/>
  </cols>
  <sheetData>
    <row r="1" spans="1:8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>
      <c r="A2" t="s">
        <v>54</v>
      </c>
      <c r="B2" t="s">
        <v>55</v>
      </c>
      <c r="C2" t="s">
        <v>56</v>
      </c>
      <c r="D2">
        <v>1</v>
      </c>
      <c r="E2">
        <v>1</v>
      </c>
      <c r="F2" t="s">
        <v>57</v>
      </c>
      <c r="G2">
        <v>27.57225</v>
      </c>
      <c r="H2" t="s">
        <v>58</v>
      </c>
    </row>
    <row r="3" spans="1:8">
      <c r="A3" t="s">
        <v>54</v>
      </c>
      <c r="B3" t="s">
        <v>55</v>
      </c>
      <c r="C3" t="s">
        <v>56</v>
      </c>
      <c r="D3">
        <v>1</v>
      </c>
      <c r="E3">
        <v>2</v>
      </c>
      <c r="F3" t="s">
        <v>57</v>
      </c>
      <c r="G3">
        <v>27.524349999999998</v>
      </c>
      <c r="H3" t="s">
        <v>59</v>
      </c>
    </row>
    <row r="4" spans="1:8">
      <c r="A4" t="s">
        <v>54</v>
      </c>
      <c r="B4" t="s">
        <v>55</v>
      </c>
      <c r="C4" t="s">
        <v>56</v>
      </c>
      <c r="D4">
        <v>1</v>
      </c>
      <c r="E4">
        <v>3</v>
      </c>
      <c r="F4" t="s">
        <v>57</v>
      </c>
      <c r="G4">
        <v>27.130379999999999</v>
      </c>
      <c r="H4" t="s">
        <v>60</v>
      </c>
    </row>
    <row r="5" spans="1:8">
      <c r="A5" t="s">
        <v>54</v>
      </c>
      <c r="B5" t="s">
        <v>55</v>
      </c>
      <c r="C5" t="s">
        <v>56</v>
      </c>
      <c r="D5">
        <v>1</v>
      </c>
      <c r="E5">
        <v>4</v>
      </c>
      <c r="F5" t="s">
        <v>57</v>
      </c>
      <c r="G5">
        <v>27.24183</v>
      </c>
      <c r="H5" t="s">
        <v>61</v>
      </c>
    </row>
    <row r="6" spans="1:8">
      <c r="A6" t="s">
        <v>54</v>
      </c>
      <c r="B6" t="s">
        <v>55</v>
      </c>
      <c r="C6" t="s">
        <v>56</v>
      </c>
      <c r="D6">
        <v>1</v>
      </c>
      <c r="E6">
        <v>5</v>
      </c>
      <c r="F6" t="s">
        <v>57</v>
      </c>
      <c r="G6">
        <v>27.297910000000002</v>
      </c>
      <c r="H6" t="s">
        <v>62</v>
      </c>
    </row>
    <row r="7" spans="1:8" hidden="1">
      <c r="A7" t="s">
        <v>54</v>
      </c>
      <c r="B7" t="s">
        <v>55</v>
      </c>
      <c r="C7" t="s">
        <v>56</v>
      </c>
      <c r="D7">
        <v>2</v>
      </c>
      <c r="E7">
        <v>1</v>
      </c>
      <c r="F7" t="s">
        <v>63</v>
      </c>
      <c r="G7">
        <v>14.68962</v>
      </c>
      <c r="H7" t="s">
        <v>64</v>
      </c>
    </row>
    <row r="8" spans="1:8" hidden="1">
      <c r="A8" t="s">
        <v>54</v>
      </c>
      <c r="B8" t="s">
        <v>55</v>
      </c>
      <c r="C8" t="s">
        <v>56</v>
      </c>
      <c r="D8">
        <v>2</v>
      </c>
      <c r="E8">
        <v>2</v>
      </c>
      <c r="F8" t="s">
        <v>63</v>
      </c>
      <c r="G8">
        <v>14.250859999999999</v>
      </c>
      <c r="H8" t="s">
        <v>65</v>
      </c>
    </row>
    <row r="9" spans="1:8" hidden="1">
      <c r="A9" t="s">
        <v>54</v>
      </c>
      <c r="B9" t="s">
        <v>55</v>
      </c>
      <c r="C9" t="s">
        <v>56</v>
      </c>
      <c r="D9">
        <v>2</v>
      </c>
      <c r="E9">
        <v>3</v>
      </c>
      <c r="F9" t="s">
        <v>63</v>
      </c>
      <c r="G9">
        <v>14.397740000000001</v>
      </c>
      <c r="H9" t="s">
        <v>66</v>
      </c>
    </row>
    <row r="10" spans="1:8" hidden="1">
      <c r="A10" t="s">
        <v>54</v>
      </c>
      <c r="B10" t="s">
        <v>55</v>
      </c>
      <c r="C10" t="s">
        <v>56</v>
      </c>
      <c r="D10">
        <v>2</v>
      </c>
      <c r="E10">
        <v>4</v>
      </c>
      <c r="F10" t="s">
        <v>63</v>
      </c>
      <c r="G10">
        <v>14.074109999999999</v>
      </c>
      <c r="H10" t="s">
        <v>67</v>
      </c>
    </row>
    <row r="11" spans="1:8" hidden="1">
      <c r="A11" t="s">
        <v>54</v>
      </c>
      <c r="B11" t="s">
        <v>55</v>
      </c>
      <c r="C11" t="s">
        <v>56</v>
      </c>
      <c r="D11">
        <v>2</v>
      </c>
      <c r="E11">
        <v>5</v>
      </c>
      <c r="F11" t="s">
        <v>63</v>
      </c>
      <c r="G11">
        <v>14.31316</v>
      </c>
      <c r="H11" t="s">
        <v>68</v>
      </c>
    </row>
    <row r="12" spans="1:8" hidden="1">
      <c r="A12" t="s">
        <v>54</v>
      </c>
      <c r="B12" t="s">
        <v>55</v>
      </c>
      <c r="C12" t="s">
        <v>56</v>
      </c>
      <c r="D12">
        <v>4</v>
      </c>
      <c r="E12">
        <v>1</v>
      </c>
      <c r="F12" t="s">
        <v>63</v>
      </c>
      <c r="G12">
        <v>7.3024519999999997</v>
      </c>
      <c r="H12" t="s">
        <v>69</v>
      </c>
    </row>
    <row r="13" spans="1:8" hidden="1">
      <c r="A13" t="s">
        <v>54</v>
      </c>
      <c r="B13" t="s">
        <v>55</v>
      </c>
      <c r="C13" t="s">
        <v>56</v>
      </c>
      <c r="D13">
        <v>4</v>
      </c>
      <c r="E13">
        <v>2</v>
      </c>
      <c r="F13" t="s">
        <v>63</v>
      </c>
      <c r="G13">
        <v>7.3257510000000003</v>
      </c>
      <c r="H13" t="s">
        <v>70</v>
      </c>
    </row>
    <row r="14" spans="1:8" hidden="1">
      <c r="A14" t="s">
        <v>54</v>
      </c>
      <c r="B14" t="s">
        <v>55</v>
      </c>
      <c r="C14" t="s">
        <v>56</v>
      </c>
      <c r="D14">
        <v>4</v>
      </c>
      <c r="E14">
        <v>3</v>
      </c>
      <c r="F14" t="s">
        <v>63</v>
      </c>
      <c r="G14">
        <v>7.2629049999999999</v>
      </c>
      <c r="H14" t="s">
        <v>71</v>
      </c>
    </row>
    <row r="15" spans="1:8" hidden="1">
      <c r="A15" t="s">
        <v>54</v>
      </c>
      <c r="B15" t="s">
        <v>55</v>
      </c>
      <c r="C15" t="s">
        <v>56</v>
      </c>
      <c r="D15">
        <v>4</v>
      </c>
      <c r="E15">
        <v>4</v>
      </c>
      <c r="F15" t="s">
        <v>63</v>
      </c>
      <c r="G15">
        <v>7.288373</v>
      </c>
      <c r="H15" t="s">
        <v>72</v>
      </c>
    </row>
    <row r="16" spans="1:8" hidden="1">
      <c r="A16" t="s">
        <v>54</v>
      </c>
      <c r="B16" t="s">
        <v>55</v>
      </c>
      <c r="C16" t="s">
        <v>56</v>
      </c>
      <c r="D16">
        <v>4</v>
      </c>
      <c r="E16">
        <v>5</v>
      </c>
      <c r="F16" t="s">
        <v>63</v>
      </c>
      <c r="G16">
        <v>7.2964640000000003</v>
      </c>
      <c r="H16" t="s">
        <v>73</v>
      </c>
    </row>
    <row r="17" spans="1:8" hidden="1">
      <c r="A17" t="s">
        <v>54</v>
      </c>
      <c r="B17" t="s">
        <v>55</v>
      </c>
      <c r="C17" t="s">
        <v>56</v>
      </c>
      <c r="D17">
        <v>4</v>
      </c>
      <c r="F17" t="s">
        <v>63</v>
      </c>
      <c r="G17">
        <v>7.3301400000000001</v>
      </c>
      <c r="H17" t="s">
        <v>74</v>
      </c>
    </row>
    <row r="18" spans="1:8" hidden="1">
      <c r="A18" t="s">
        <v>54</v>
      </c>
      <c r="B18" t="s">
        <v>55</v>
      </c>
      <c r="C18" t="s">
        <v>56</v>
      </c>
      <c r="D18">
        <v>8</v>
      </c>
      <c r="E18">
        <v>1</v>
      </c>
      <c r="F18" t="s">
        <v>63</v>
      </c>
      <c r="G18">
        <v>4.5107689999999998</v>
      </c>
      <c r="H18" t="s">
        <v>75</v>
      </c>
    </row>
    <row r="19" spans="1:8" hidden="1">
      <c r="A19" t="s">
        <v>54</v>
      </c>
      <c r="B19" t="s">
        <v>55</v>
      </c>
      <c r="C19" t="s">
        <v>56</v>
      </c>
      <c r="D19">
        <v>8</v>
      </c>
      <c r="E19">
        <v>2</v>
      </c>
      <c r="F19" t="s">
        <v>63</v>
      </c>
      <c r="G19">
        <v>4.4431229999999999</v>
      </c>
      <c r="H19" t="s">
        <v>76</v>
      </c>
    </row>
    <row r="20" spans="1:8" hidden="1">
      <c r="A20" t="s">
        <v>54</v>
      </c>
      <c r="B20" t="s">
        <v>55</v>
      </c>
      <c r="C20" t="s">
        <v>56</v>
      </c>
      <c r="D20">
        <v>8</v>
      </c>
      <c r="E20">
        <v>3</v>
      </c>
      <c r="F20" t="s">
        <v>63</v>
      </c>
      <c r="G20">
        <v>4.4455590000000003</v>
      </c>
      <c r="H20" t="s">
        <v>77</v>
      </c>
    </row>
    <row r="21" spans="1:8" hidden="1">
      <c r="A21" t="s">
        <v>54</v>
      </c>
      <c r="B21" t="s">
        <v>55</v>
      </c>
      <c r="C21" t="s">
        <v>56</v>
      </c>
      <c r="D21">
        <v>8</v>
      </c>
      <c r="E21">
        <v>4</v>
      </c>
      <c r="F21" t="s">
        <v>63</v>
      </c>
      <c r="G21">
        <v>4.4529310000000004</v>
      </c>
      <c r="H21" t="s">
        <v>78</v>
      </c>
    </row>
    <row r="22" spans="1:8" hidden="1">
      <c r="A22" t="s">
        <v>54</v>
      </c>
      <c r="B22" t="s">
        <v>55</v>
      </c>
      <c r="C22" t="s">
        <v>56</v>
      </c>
      <c r="D22">
        <v>8</v>
      </c>
      <c r="E22">
        <v>5</v>
      </c>
      <c r="F22" t="s">
        <v>63</v>
      </c>
      <c r="G22">
        <v>4.4435840000000004</v>
      </c>
      <c r="H22" t="s">
        <v>79</v>
      </c>
    </row>
    <row r="23" spans="1:8">
      <c r="A23" t="s">
        <v>54</v>
      </c>
      <c r="B23" t="s">
        <v>80</v>
      </c>
      <c r="C23" t="s">
        <v>56</v>
      </c>
      <c r="D23">
        <v>1</v>
      </c>
      <c r="E23">
        <v>1</v>
      </c>
      <c r="F23" t="s">
        <v>57</v>
      </c>
      <c r="G23">
        <v>27.834579999999999</v>
      </c>
      <c r="H23" t="s">
        <v>81</v>
      </c>
    </row>
    <row r="24" spans="1:8">
      <c r="A24" t="s">
        <v>54</v>
      </c>
      <c r="B24" t="s">
        <v>80</v>
      </c>
      <c r="C24" t="s">
        <v>56</v>
      </c>
      <c r="D24">
        <v>1</v>
      </c>
      <c r="E24">
        <v>2</v>
      </c>
      <c r="F24" t="s">
        <v>57</v>
      </c>
      <c r="G24">
        <v>27.509460000000001</v>
      </c>
      <c r="H24" t="s">
        <v>82</v>
      </c>
    </row>
    <row r="25" spans="1:8">
      <c r="A25" t="s">
        <v>54</v>
      </c>
      <c r="B25" t="s">
        <v>80</v>
      </c>
      <c r="C25" t="s">
        <v>56</v>
      </c>
      <c r="D25">
        <v>1</v>
      </c>
      <c r="E25">
        <v>3</v>
      </c>
      <c r="F25" t="s">
        <v>57</v>
      </c>
      <c r="G25">
        <v>27.4529</v>
      </c>
      <c r="H25" t="s">
        <v>83</v>
      </c>
    </row>
    <row r="26" spans="1:8">
      <c r="A26" t="s">
        <v>54</v>
      </c>
      <c r="B26" t="s">
        <v>80</v>
      </c>
      <c r="C26" t="s">
        <v>56</v>
      </c>
      <c r="D26">
        <v>1</v>
      </c>
      <c r="E26">
        <v>4</v>
      </c>
      <c r="F26" t="s">
        <v>57</v>
      </c>
      <c r="G26">
        <v>27.481940000000002</v>
      </c>
      <c r="H26" t="s">
        <v>84</v>
      </c>
    </row>
    <row r="27" spans="1:8">
      <c r="A27" t="s">
        <v>54</v>
      </c>
      <c r="B27" t="s">
        <v>80</v>
      </c>
      <c r="C27" t="s">
        <v>56</v>
      </c>
      <c r="D27">
        <v>1</v>
      </c>
      <c r="E27">
        <v>5</v>
      </c>
      <c r="F27" t="s">
        <v>57</v>
      </c>
      <c r="G27">
        <v>27.510400000000001</v>
      </c>
      <c r="H27" t="s">
        <v>85</v>
      </c>
    </row>
    <row r="28" spans="1:8" hidden="1">
      <c r="A28" t="s">
        <v>54</v>
      </c>
      <c r="B28" t="s">
        <v>80</v>
      </c>
      <c r="C28" t="s">
        <v>56</v>
      </c>
      <c r="D28">
        <v>2</v>
      </c>
      <c r="E28">
        <v>1</v>
      </c>
      <c r="F28" t="s">
        <v>63</v>
      </c>
      <c r="G28">
        <v>14.16287</v>
      </c>
      <c r="H28" t="s">
        <v>86</v>
      </c>
    </row>
    <row r="29" spans="1:8" hidden="1">
      <c r="A29" t="s">
        <v>54</v>
      </c>
      <c r="B29" t="s">
        <v>80</v>
      </c>
      <c r="C29" t="s">
        <v>56</v>
      </c>
      <c r="D29">
        <v>2</v>
      </c>
      <c r="E29">
        <v>2</v>
      </c>
      <c r="F29" t="s">
        <v>63</v>
      </c>
      <c r="G29">
        <v>14.31396</v>
      </c>
      <c r="H29" t="s">
        <v>87</v>
      </c>
    </row>
    <row r="30" spans="1:8" hidden="1">
      <c r="A30" t="s">
        <v>54</v>
      </c>
      <c r="B30" t="s">
        <v>80</v>
      </c>
      <c r="C30" t="s">
        <v>56</v>
      </c>
      <c r="D30">
        <v>2</v>
      </c>
      <c r="E30">
        <v>3</v>
      </c>
      <c r="F30" t="s">
        <v>63</v>
      </c>
      <c r="G30">
        <v>14.192640000000001</v>
      </c>
      <c r="H30" t="s">
        <v>88</v>
      </c>
    </row>
    <row r="31" spans="1:8" hidden="1">
      <c r="A31" t="s">
        <v>54</v>
      </c>
      <c r="B31" t="s">
        <v>80</v>
      </c>
      <c r="C31" t="s">
        <v>56</v>
      </c>
      <c r="D31">
        <v>2</v>
      </c>
      <c r="E31">
        <v>4</v>
      </c>
      <c r="F31" t="s">
        <v>63</v>
      </c>
      <c r="G31">
        <v>14.232060000000001</v>
      </c>
      <c r="H31" t="s">
        <v>89</v>
      </c>
    </row>
    <row r="32" spans="1:8" hidden="1">
      <c r="A32" t="s">
        <v>54</v>
      </c>
      <c r="B32" t="s">
        <v>80</v>
      </c>
      <c r="C32" t="s">
        <v>56</v>
      </c>
      <c r="D32">
        <v>2</v>
      </c>
      <c r="E32">
        <v>5</v>
      </c>
      <c r="F32" t="s">
        <v>63</v>
      </c>
      <c r="G32">
        <v>16.35511</v>
      </c>
      <c r="H32" t="s">
        <v>90</v>
      </c>
    </row>
    <row r="33" spans="1:8" hidden="1">
      <c r="A33" t="s">
        <v>54</v>
      </c>
      <c r="B33" t="s">
        <v>80</v>
      </c>
      <c r="C33" t="s">
        <v>56</v>
      </c>
      <c r="D33">
        <v>4</v>
      </c>
      <c r="E33">
        <v>1</v>
      </c>
      <c r="F33" t="s">
        <v>63</v>
      </c>
      <c r="G33">
        <v>7.0149980000000003</v>
      </c>
      <c r="H33" t="s">
        <v>91</v>
      </c>
    </row>
    <row r="34" spans="1:8" hidden="1">
      <c r="A34" t="s">
        <v>54</v>
      </c>
      <c r="B34" t="s">
        <v>80</v>
      </c>
      <c r="C34" t="s">
        <v>56</v>
      </c>
      <c r="D34">
        <v>4</v>
      </c>
      <c r="E34">
        <v>2</v>
      </c>
      <c r="F34" t="s">
        <v>63</v>
      </c>
      <c r="G34">
        <v>7.9112039999999997</v>
      </c>
      <c r="H34" t="s">
        <v>92</v>
      </c>
    </row>
    <row r="35" spans="1:8" hidden="1">
      <c r="A35" t="s">
        <v>54</v>
      </c>
      <c r="B35" t="s">
        <v>80</v>
      </c>
      <c r="C35" t="s">
        <v>56</v>
      </c>
      <c r="D35">
        <v>4</v>
      </c>
      <c r="E35">
        <v>3</v>
      </c>
      <c r="F35" t="s">
        <v>63</v>
      </c>
      <c r="G35">
        <v>7.1713050000000003</v>
      </c>
      <c r="H35" t="s">
        <v>93</v>
      </c>
    </row>
    <row r="36" spans="1:8" hidden="1">
      <c r="A36" t="s">
        <v>54</v>
      </c>
      <c r="B36" t="s">
        <v>80</v>
      </c>
      <c r="C36" t="s">
        <v>56</v>
      </c>
      <c r="D36">
        <v>4</v>
      </c>
      <c r="E36">
        <v>4</v>
      </c>
      <c r="F36" t="s">
        <v>63</v>
      </c>
      <c r="G36">
        <v>7.1939359999999999</v>
      </c>
      <c r="H36" t="s">
        <v>94</v>
      </c>
    </row>
    <row r="37" spans="1:8" hidden="1">
      <c r="A37" t="s">
        <v>54</v>
      </c>
      <c r="B37" t="s">
        <v>80</v>
      </c>
      <c r="C37" t="s">
        <v>56</v>
      </c>
      <c r="D37">
        <v>4</v>
      </c>
      <c r="E37">
        <v>5</v>
      </c>
      <c r="F37" t="s">
        <v>63</v>
      </c>
      <c r="G37">
        <v>7.2807750000000002</v>
      </c>
      <c r="H37" t="s">
        <v>95</v>
      </c>
    </row>
    <row r="38" spans="1:8" hidden="1">
      <c r="A38" t="s">
        <v>54</v>
      </c>
      <c r="B38" t="s">
        <v>80</v>
      </c>
      <c r="C38" t="s">
        <v>56</v>
      </c>
      <c r="D38">
        <v>8</v>
      </c>
      <c r="E38">
        <v>1</v>
      </c>
      <c r="F38" t="s">
        <v>63</v>
      </c>
      <c r="G38">
        <v>4.3380219999999996</v>
      </c>
      <c r="H38" t="s">
        <v>96</v>
      </c>
    </row>
    <row r="39" spans="1:8" hidden="1">
      <c r="A39" t="s">
        <v>54</v>
      </c>
      <c r="B39" t="s">
        <v>80</v>
      </c>
      <c r="C39" t="s">
        <v>56</v>
      </c>
      <c r="D39">
        <v>8</v>
      </c>
      <c r="E39">
        <v>2</v>
      </c>
      <c r="F39" t="s">
        <v>63</v>
      </c>
      <c r="G39">
        <v>4.3100529999999999</v>
      </c>
      <c r="H39" t="s">
        <v>97</v>
      </c>
    </row>
    <row r="40" spans="1:8" hidden="1">
      <c r="A40" t="s">
        <v>54</v>
      </c>
      <c r="B40" t="s">
        <v>80</v>
      </c>
      <c r="C40" t="s">
        <v>56</v>
      </c>
      <c r="D40">
        <v>8</v>
      </c>
      <c r="E40">
        <v>3</v>
      </c>
      <c r="F40" t="s">
        <v>63</v>
      </c>
      <c r="G40">
        <v>4.3275569999999997</v>
      </c>
      <c r="H40" t="s">
        <v>98</v>
      </c>
    </row>
    <row r="41" spans="1:8" hidden="1">
      <c r="A41" t="s">
        <v>54</v>
      </c>
      <c r="B41" t="s">
        <v>80</v>
      </c>
      <c r="C41" t="s">
        <v>56</v>
      </c>
      <c r="D41">
        <v>8</v>
      </c>
      <c r="E41">
        <v>4</v>
      </c>
      <c r="F41" t="s">
        <v>63</v>
      </c>
      <c r="G41">
        <v>4.3352430000000002</v>
      </c>
      <c r="H41" t="s">
        <v>99</v>
      </c>
    </row>
    <row r="42" spans="1:8" hidden="1">
      <c r="A42" t="s">
        <v>54</v>
      </c>
      <c r="B42" t="s">
        <v>80</v>
      </c>
      <c r="C42" t="s">
        <v>56</v>
      </c>
      <c r="D42">
        <v>8</v>
      </c>
      <c r="E42">
        <v>5</v>
      </c>
      <c r="F42" t="s">
        <v>63</v>
      </c>
      <c r="G42">
        <v>4.3029520000000003</v>
      </c>
      <c r="H42" t="s">
        <v>100</v>
      </c>
    </row>
    <row r="43" spans="1:8">
      <c r="A43" t="s">
        <v>101</v>
      </c>
      <c r="B43" t="s">
        <v>55</v>
      </c>
      <c r="C43" t="s">
        <v>56</v>
      </c>
      <c r="D43">
        <v>1</v>
      </c>
      <c r="E43">
        <v>1</v>
      </c>
      <c r="F43" t="s">
        <v>63</v>
      </c>
      <c r="G43">
        <v>42.456609999999998</v>
      </c>
      <c r="H43" t="s">
        <v>102</v>
      </c>
    </row>
    <row r="44" spans="1:8">
      <c r="A44" t="s">
        <v>101</v>
      </c>
      <c r="B44" t="s">
        <v>55</v>
      </c>
      <c r="C44" t="s">
        <v>56</v>
      </c>
      <c r="D44">
        <v>1</v>
      </c>
      <c r="E44">
        <v>2</v>
      </c>
      <c r="F44" t="s">
        <v>63</v>
      </c>
      <c r="G44">
        <v>42.221209999999999</v>
      </c>
      <c r="H44" t="s">
        <v>103</v>
      </c>
    </row>
    <row r="45" spans="1:8">
      <c r="A45" t="s">
        <v>101</v>
      </c>
      <c r="B45" t="s">
        <v>55</v>
      </c>
      <c r="C45" t="s">
        <v>56</v>
      </c>
      <c r="D45">
        <v>1</v>
      </c>
      <c r="E45">
        <v>3</v>
      </c>
      <c r="F45" t="s">
        <v>63</v>
      </c>
      <c r="G45">
        <v>42.224170000000001</v>
      </c>
      <c r="H45" t="s">
        <v>104</v>
      </c>
    </row>
    <row r="46" spans="1:8">
      <c r="A46" t="s">
        <v>101</v>
      </c>
      <c r="B46" t="s">
        <v>55</v>
      </c>
      <c r="C46" t="s">
        <v>56</v>
      </c>
      <c r="D46">
        <v>1</v>
      </c>
      <c r="E46">
        <v>4</v>
      </c>
      <c r="F46" t="s">
        <v>63</v>
      </c>
      <c r="G46">
        <v>42.23753</v>
      </c>
      <c r="H46" t="s">
        <v>105</v>
      </c>
    </row>
    <row r="47" spans="1:8">
      <c r="A47" t="s">
        <v>101</v>
      </c>
      <c r="B47" t="s">
        <v>55</v>
      </c>
      <c r="C47" t="s">
        <v>56</v>
      </c>
      <c r="D47">
        <v>1</v>
      </c>
      <c r="E47">
        <v>5</v>
      </c>
      <c r="F47" t="s">
        <v>63</v>
      </c>
      <c r="G47">
        <v>42.29569</v>
      </c>
      <c r="H47" t="s">
        <v>106</v>
      </c>
    </row>
    <row r="48" spans="1:8" hidden="1">
      <c r="A48" t="s">
        <v>101</v>
      </c>
      <c r="B48" t="s">
        <v>55</v>
      </c>
      <c r="C48" t="s">
        <v>56</v>
      </c>
      <c r="D48">
        <v>2</v>
      </c>
      <c r="E48">
        <v>1</v>
      </c>
      <c r="F48" t="s">
        <v>63</v>
      </c>
      <c r="G48">
        <v>28.348870000000002</v>
      </c>
      <c r="H48" t="s">
        <v>107</v>
      </c>
    </row>
    <row r="49" spans="1:8" hidden="1">
      <c r="A49" t="s">
        <v>101</v>
      </c>
      <c r="B49" t="s">
        <v>55</v>
      </c>
      <c r="C49" t="s">
        <v>56</v>
      </c>
      <c r="D49">
        <v>2</v>
      </c>
      <c r="E49">
        <v>2</v>
      </c>
      <c r="F49" t="s">
        <v>63</v>
      </c>
      <c r="G49">
        <v>28.37274</v>
      </c>
      <c r="H49" t="s">
        <v>108</v>
      </c>
    </row>
    <row r="50" spans="1:8" hidden="1">
      <c r="A50" t="s">
        <v>101</v>
      </c>
      <c r="B50" t="s">
        <v>55</v>
      </c>
      <c r="C50" t="s">
        <v>56</v>
      </c>
      <c r="D50">
        <v>2</v>
      </c>
      <c r="E50">
        <v>3</v>
      </c>
      <c r="F50" t="s">
        <v>63</v>
      </c>
      <c r="G50">
        <v>28.125540000000001</v>
      </c>
      <c r="H50" t="s">
        <v>109</v>
      </c>
    </row>
    <row r="51" spans="1:8" hidden="1">
      <c r="A51" t="s">
        <v>101</v>
      </c>
      <c r="B51" t="s">
        <v>55</v>
      </c>
      <c r="C51" t="s">
        <v>56</v>
      </c>
      <c r="D51">
        <v>2</v>
      </c>
      <c r="E51">
        <v>4</v>
      </c>
      <c r="F51" t="s">
        <v>63</v>
      </c>
      <c r="G51">
        <v>28.211559999999999</v>
      </c>
      <c r="H51" t="s">
        <v>110</v>
      </c>
    </row>
    <row r="52" spans="1:8" hidden="1">
      <c r="A52" t="s">
        <v>101</v>
      </c>
      <c r="B52" t="s">
        <v>55</v>
      </c>
      <c r="C52" t="s">
        <v>56</v>
      </c>
      <c r="D52">
        <v>2</v>
      </c>
      <c r="E52">
        <v>5</v>
      </c>
      <c r="F52" t="s">
        <v>63</v>
      </c>
      <c r="G52">
        <v>28.130140000000001</v>
      </c>
      <c r="H52" t="s">
        <v>111</v>
      </c>
    </row>
    <row r="53" spans="1:8" hidden="1">
      <c r="A53" t="s">
        <v>101</v>
      </c>
      <c r="B53" t="s">
        <v>55</v>
      </c>
      <c r="C53" t="s">
        <v>56</v>
      </c>
      <c r="D53">
        <v>4</v>
      </c>
      <c r="E53">
        <v>1</v>
      </c>
      <c r="F53" t="s">
        <v>63</v>
      </c>
      <c r="G53">
        <v>20.981999999999999</v>
      </c>
      <c r="H53" t="s">
        <v>112</v>
      </c>
    </row>
    <row r="54" spans="1:8" hidden="1">
      <c r="A54" t="s">
        <v>101</v>
      </c>
      <c r="B54" t="s">
        <v>55</v>
      </c>
      <c r="C54" t="s">
        <v>56</v>
      </c>
      <c r="D54">
        <v>4</v>
      </c>
      <c r="E54">
        <v>2</v>
      </c>
      <c r="F54" t="s">
        <v>63</v>
      </c>
      <c r="G54">
        <v>20.62595</v>
      </c>
      <c r="H54" t="s">
        <v>113</v>
      </c>
    </row>
    <row r="55" spans="1:8" hidden="1">
      <c r="A55" t="s">
        <v>101</v>
      </c>
      <c r="B55" t="s">
        <v>55</v>
      </c>
      <c r="C55" t="s">
        <v>56</v>
      </c>
      <c r="D55">
        <v>4</v>
      </c>
      <c r="E55">
        <v>3</v>
      </c>
      <c r="F55" t="s">
        <v>63</v>
      </c>
      <c r="G55">
        <v>20.62379</v>
      </c>
      <c r="H55" t="s">
        <v>114</v>
      </c>
    </row>
    <row r="56" spans="1:8" hidden="1">
      <c r="A56" t="s">
        <v>101</v>
      </c>
      <c r="B56" t="s">
        <v>55</v>
      </c>
      <c r="C56" t="s">
        <v>56</v>
      </c>
      <c r="D56">
        <v>4</v>
      </c>
      <c r="E56">
        <v>4</v>
      </c>
      <c r="F56" t="s">
        <v>63</v>
      </c>
      <c r="G56">
        <v>20.489879999999999</v>
      </c>
      <c r="H56" t="s">
        <v>115</v>
      </c>
    </row>
    <row r="57" spans="1:8" hidden="1">
      <c r="A57" t="s">
        <v>101</v>
      </c>
      <c r="B57" t="s">
        <v>55</v>
      </c>
      <c r="C57" t="s">
        <v>56</v>
      </c>
      <c r="D57">
        <v>4</v>
      </c>
      <c r="E57">
        <v>5</v>
      </c>
      <c r="F57" t="s">
        <v>63</v>
      </c>
      <c r="G57">
        <v>20.69642</v>
      </c>
      <c r="H57" t="s">
        <v>116</v>
      </c>
    </row>
    <row r="58" spans="1:8" hidden="1">
      <c r="A58" t="s">
        <v>101</v>
      </c>
      <c r="B58" t="s">
        <v>55</v>
      </c>
      <c r="C58" t="s">
        <v>56</v>
      </c>
      <c r="D58">
        <v>8</v>
      </c>
      <c r="E58">
        <v>1</v>
      </c>
      <c r="F58" t="s">
        <v>63</v>
      </c>
      <c r="G58">
        <v>17.145579999999999</v>
      </c>
      <c r="H58" t="s">
        <v>117</v>
      </c>
    </row>
    <row r="59" spans="1:8" hidden="1">
      <c r="A59" t="s">
        <v>101</v>
      </c>
      <c r="B59" t="s">
        <v>55</v>
      </c>
      <c r="C59" t="s">
        <v>56</v>
      </c>
      <c r="D59">
        <v>8</v>
      </c>
      <c r="E59">
        <v>2</v>
      </c>
      <c r="F59" t="s">
        <v>63</v>
      </c>
      <c r="G59">
        <v>17.303840000000001</v>
      </c>
      <c r="H59" t="s">
        <v>118</v>
      </c>
    </row>
    <row r="60" spans="1:8" hidden="1">
      <c r="A60" t="s">
        <v>101</v>
      </c>
      <c r="B60" t="s">
        <v>55</v>
      </c>
      <c r="C60" t="s">
        <v>56</v>
      </c>
      <c r="D60">
        <v>8</v>
      </c>
      <c r="E60">
        <v>3</v>
      </c>
      <c r="F60" t="s">
        <v>63</v>
      </c>
      <c r="G60">
        <v>17.138780000000001</v>
      </c>
      <c r="H60" t="s">
        <v>119</v>
      </c>
    </row>
    <row r="61" spans="1:8" hidden="1">
      <c r="A61" t="s">
        <v>101</v>
      </c>
      <c r="B61" t="s">
        <v>55</v>
      </c>
      <c r="C61" t="s">
        <v>56</v>
      </c>
      <c r="D61">
        <v>8</v>
      </c>
      <c r="E61">
        <v>4</v>
      </c>
      <c r="F61" t="s">
        <v>63</v>
      </c>
      <c r="G61">
        <v>17.047999999999998</v>
      </c>
      <c r="H61" t="s">
        <v>120</v>
      </c>
    </row>
    <row r="62" spans="1:8" hidden="1">
      <c r="A62" t="s">
        <v>101</v>
      </c>
      <c r="B62" t="s">
        <v>55</v>
      </c>
      <c r="C62" t="s">
        <v>56</v>
      </c>
      <c r="D62">
        <v>8</v>
      </c>
      <c r="E62">
        <v>5</v>
      </c>
      <c r="F62" t="s">
        <v>63</v>
      </c>
      <c r="G62">
        <v>17.074159999999999</v>
      </c>
      <c r="H62" t="s">
        <v>121</v>
      </c>
    </row>
    <row r="63" spans="1:8">
      <c r="A63" t="s">
        <v>101</v>
      </c>
      <c r="B63" t="s">
        <v>80</v>
      </c>
      <c r="C63" t="s">
        <v>56</v>
      </c>
      <c r="D63">
        <v>1</v>
      </c>
      <c r="E63">
        <v>1</v>
      </c>
      <c r="F63" t="s">
        <v>63</v>
      </c>
      <c r="G63">
        <v>33.844239999999999</v>
      </c>
      <c r="H63" t="s">
        <v>122</v>
      </c>
    </row>
    <row r="64" spans="1:8">
      <c r="A64" t="s">
        <v>101</v>
      </c>
      <c r="B64" t="s">
        <v>80</v>
      </c>
      <c r="C64" t="s">
        <v>56</v>
      </c>
      <c r="D64">
        <v>1</v>
      </c>
      <c r="E64">
        <v>2</v>
      </c>
      <c r="F64" t="s">
        <v>63</v>
      </c>
      <c r="G64">
        <v>33.996020000000001</v>
      </c>
      <c r="H64" t="s">
        <v>123</v>
      </c>
    </row>
    <row r="65" spans="1:8">
      <c r="A65" t="s">
        <v>101</v>
      </c>
      <c r="B65" t="s">
        <v>80</v>
      </c>
      <c r="C65" t="s">
        <v>56</v>
      </c>
      <c r="D65">
        <v>1</v>
      </c>
      <c r="E65">
        <v>3</v>
      </c>
      <c r="F65" t="s">
        <v>63</v>
      </c>
      <c r="G65">
        <v>33.878030000000003</v>
      </c>
      <c r="H65" t="s">
        <v>124</v>
      </c>
    </row>
    <row r="66" spans="1:8">
      <c r="A66" t="s">
        <v>101</v>
      </c>
      <c r="B66" t="s">
        <v>80</v>
      </c>
      <c r="C66" t="s">
        <v>56</v>
      </c>
      <c r="D66">
        <v>1</v>
      </c>
      <c r="E66">
        <v>4</v>
      </c>
      <c r="F66" t="s">
        <v>63</v>
      </c>
      <c r="G66">
        <v>33.917140000000003</v>
      </c>
      <c r="H66" t="s">
        <v>125</v>
      </c>
    </row>
    <row r="67" spans="1:8">
      <c r="A67" t="s">
        <v>101</v>
      </c>
      <c r="B67" t="s">
        <v>80</v>
      </c>
      <c r="C67" t="s">
        <v>56</v>
      </c>
      <c r="D67">
        <v>1</v>
      </c>
      <c r="E67">
        <v>5</v>
      </c>
      <c r="F67" t="s">
        <v>63</v>
      </c>
      <c r="G67">
        <v>34.006790000000002</v>
      </c>
      <c r="H67" t="s">
        <v>126</v>
      </c>
    </row>
    <row r="68" spans="1:8" hidden="1">
      <c r="A68" t="s">
        <v>101</v>
      </c>
      <c r="B68" t="s">
        <v>80</v>
      </c>
      <c r="C68" t="s">
        <v>56</v>
      </c>
      <c r="D68">
        <v>2</v>
      </c>
      <c r="E68">
        <v>1</v>
      </c>
      <c r="F68" t="s">
        <v>63</v>
      </c>
      <c r="G68">
        <v>19.613350000000001</v>
      </c>
      <c r="H68" t="s">
        <v>127</v>
      </c>
    </row>
    <row r="69" spans="1:8" hidden="1">
      <c r="A69" t="s">
        <v>101</v>
      </c>
      <c r="B69" t="s">
        <v>80</v>
      </c>
      <c r="C69" t="s">
        <v>56</v>
      </c>
      <c r="D69">
        <v>2</v>
      </c>
      <c r="E69">
        <v>2</v>
      </c>
      <c r="F69" t="s">
        <v>63</v>
      </c>
      <c r="G69">
        <v>19.465399999999999</v>
      </c>
      <c r="H69" t="s">
        <v>128</v>
      </c>
    </row>
    <row r="70" spans="1:8" hidden="1">
      <c r="A70" t="s">
        <v>101</v>
      </c>
      <c r="B70" t="s">
        <v>80</v>
      </c>
      <c r="C70" t="s">
        <v>56</v>
      </c>
      <c r="D70">
        <v>2</v>
      </c>
      <c r="E70">
        <v>3</v>
      </c>
      <c r="F70" t="s">
        <v>63</v>
      </c>
      <c r="G70">
        <v>19.45636</v>
      </c>
      <c r="H70" t="s">
        <v>129</v>
      </c>
    </row>
    <row r="71" spans="1:8" hidden="1">
      <c r="A71" t="s">
        <v>101</v>
      </c>
      <c r="B71" t="s">
        <v>80</v>
      </c>
      <c r="C71" t="s">
        <v>56</v>
      </c>
      <c r="D71">
        <v>2</v>
      </c>
      <c r="E71">
        <v>4</v>
      </c>
      <c r="F71" t="s">
        <v>63</v>
      </c>
      <c r="G71">
        <v>19.44303</v>
      </c>
      <c r="H71" t="s">
        <v>130</v>
      </c>
    </row>
    <row r="72" spans="1:8" hidden="1">
      <c r="A72" t="s">
        <v>101</v>
      </c>
      <c r="B72" t="s">
        <v>80</v>
      </c>
      <c r="C72" t="s">
        <v>56</v>
      </c>
      <c r="D72">
        <v>2</v>
      </c>
      <c r="E72">
        <v>5</v>
      </c>
      <c r="F72" t="s">
        <v>63</v>
      </c>
      <c r="G72">
        <v>19.411000000000001</v>
      </c>
      <c r="H72" t="s">
        <v>131</v>
      </c>
    </row>
    <row r="73" spans="1:8" hidden="1">
      <c r="A73" t="s">
        <v>101</v>
      </c>
      <c r="B73" t="s">
        <v>80</v>
      </c>
      <c r="C73" t="s">
        <v>56</v>
      </c>
      <c r="D73">
        <v>4</v>
      </c>
      <c r="E73">
        <v>1</v>
      </c>
      <c r="F73" t="s">
        <v>63</v>
      </c>
      <c r="G73">
        <v>11.613630000000001</v>
      </c>
      <c r="H73" t="s">
        <v>132</v>
      </c>
    </row>
    <row r="74" spans="1:8" hidden="1">
      <c r="A74" t="s">
        <v>101</v>
      </c>
      <c r="B74" t="s">
        <v>80</v>
      </c>
      <c r="C74" t="s">
        <v>56</v>
      </c>
      <c r="D74">
        <v>4</v>
      </c>
      <c r="E74">
        <v>2</v>
      </c>
      <c r="F74" t="s">
        <v>63</v>
      </c>
      <c r="G74">
        <v>11.639849999999999</v>
      </c>
      <c r="H74" t="s">
        <v>133</v>
      </c>
    </row>
    <row r="75" spans="1:8" hidden="1">
      <c r="A75" t="s">
        <v>101</v>
      </c>
      <c r="B75" t="s">
        <v>80</v>
      </c>
      <c r="C75" t="s">
        <v>56</v>
      </c>
      <c r="D75">
        <v>4</v>
      </c>
      <c r="E75">
        <v>3</v>
      </c>
      <c r="F75" t="s">
        <v>63</v>
      </c>
      <c r="G75">
        <v>11.943110000000001</v>
      </c>
      <c r="H75" t="s">
        <v>134</v>
      </c>
    </row>
    <row r="76" spans="1:8" hidden="1">
      <c r="A76" t="s">
        <v>101</v>
      </c>
      <c r="B76" t="s">
        <v>80</v>
      </c>
      <c r="C76" t="s">
        <v>56</v>
      </c>
      <c r="D76">
        <v>4</v>
      </c>
      <c r="E76">
        <v>4</v>
      </c>
      <c r="F76" t="s">
        <v>63</v>
      </c>
      <c r="G76">
        <v>11.617710000000001</v>
      </c>
      <c r="H76" t="s">
        <v>135</v>
      </c>
    </row>
    <row r="77" spans="1:8" hidden="1">
      <c r="A77" t="s">
        <v>101</v>
      </c>
      <c r="B77" t="s">
        <v>80</v>
      </c>
      <c r="C77" t="s">
        <v>56</v>
      </c>
      <c r="D77">
        <v>4</v>
      </c>
      <c r="E77">
        <v>5</v>
      </c>
      <c r="F77" t="s">
        <v>63</v>
      </c>
      <c r="G77">
        <v>11.5497</v>
      </c>
      <c r="H77" t="s">
        <v>136</v>
      </c>
    </row>
    <row r="78" spans="1:8" hidden="1">
      <c r="A78" t="s">
        <v>101</v>
      </c>
      <c r="B78" t="s">
        <v>80</v>
      </c>
      <c r="C78" t="s">
        <v>56</v>
      </c>
      <c r="D78">
        <v>8</v>
      </c>
      <c r="E78">
        <v>1</v>
      </c>
      <c r="F78" t="s">
        <v>63</v>
      </c>
      <c r="G78">
        <v>8.0471939999999993</v>
      </c>
      <c r="H78" t="s">
        <v>137</v>
      </c>
    </row>
    <row r="79" spans="1:8" hidden="1">
      <c r="A79" t="s">
        <v>101</v>
      </c>
      <c r="B79" t="s">
        <v>80</v>
      </c>
      <c r="C79" t="s">
        <v>56</v>
      </c>
      <c r="D79">
        <v>8</v>
      </c>
      <c r="E79">
        <v>2</v>
      </c>
      <c r="F79" t="s">
        <v>63</v>
      </c>
      <c r="G79">
        <v>8.0378670000000003</v>
      </c>
      <c r="H79" t="s">
        <v>138</v>
      </c>
    </row>
    <row r="80" spans="1:8" hidden="1">
      <c r="A80" t="s">
        <v>101</v>
      </c>
      <c r="B80" t="s">
        <v>80</v>
      </c>
      <c r="C80" t="s">
        <v>56</v>
      </c>
      <c r="D80">
        <v>8</v>
      </c>
      <c r="E80">
        <v>3</v>
      </c>
      <c r="F80" t="s">
        <v>63</v>
      </c>
      <c r="G80">
        <v>8.0101420000000001</v>
      </c>
      <c r="H80" t="s">
        <v>139</v>
      </c>
    </row>
    <row r="81" spans="1:8" hidden="1">
      <c r="A81" t="s">
        <v>101</v>
      </c>
      <c r="B81" t="s">
        <v>80</v>
      </c>
      <c r="C81" t="s">
        <v>56</v>
      </c>
      <c r="D81">
        <v>8</v>
      </c>
      <c r="E81">
        <v>4</v>
      </c>
      <c r="F81" t="s">
        <v>63</v>
      </c>
      <c r="G81">
        <v>8.0194150000000004</v>
      </c>
      <c r="H81" t="s">
        <v>140</v>
      </c>
    </row>
    <row r="82" spans="1:8" hidden="1">
      <c r="A82" t="s">
        <v>101</v>
      </c>
      <c r="B82" t="s">
        <v>80</v>
      </c>
      <c r="C82" t="s">
        <v>56</v>
      </c>
      <c r="D82">
        <v>8</v>
      </c>
      <c r="E82">
        <v>5</v>
      </c>
      <c r="F82" t="s">
        <v>63</v>
      </c>
      <c r="G82">
        <v>8.1196280000000005</v>
      </c>
      <c r="H82" t="s">
        <v>141</v>
      </c>
    </row>
    <row r="84" spans="1:8">
      <c r="B84" t="s">
        <v>145</v>
      </c>
      <c r="C84" t="s">
        <v>146</v>
      </c>
    </row>
    <row r="85" spans="1:8">
      <c r="A85" t="s">
        <v>143</v>
      </c>
      <c r="B85">
        <f>AVERAGE(G23:G27)</f>
        <v>27.557856000000005</v>
      </c>
      <c r="C85">
        <f>AVERAGE(G2:G6)</f>
        <v>27.353344</v>
      </c>
    </row>
    <row r="86" spans="1:8">
      <c r="A86" t="s">
        <v>144</v>
      </c>
      <c r="B86">
        <f>AVERAGE(G63:G67)</f>
        <v>33.928443999999999</v>
      </c>
      <c r="C86">
        <f>AVERAGE(G43:G47)</f>
        <v>42.287042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4BE6-99EB-B049-B0A6-A131DA1EE347}">
  <dimension ref="A1:E24"/>
  <sheetViews>
    <sheetView workbookViewId="0">
      <selection activeCell="B4" sqref="B4"/>
    </sheetView>
  </sheetViews>
  <sheetFormatPr baseColWidth="10" defaultRowHeight="20"/>
  <cols>
    <col min="1" max="1" width="21.5703125" customWidth="1"/>
    <col min="2" max="2" width="28.140625" customWidth="1"/>
    <col min="3" max="3" width="21.85546875" customWidth="1"/>
    <col min="4" max="4" width="24.140625" customWidth="1"/>
    <col min="5" max="5" width="23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13</v>
      </c>
      <c r="B2" s="2">
        <v>202.82772</v>
      </c>
      <c r="C2" s="2">
        <v>212.55124000000001</v>
      </c>
      <c r="D2" s="2">
        <v>249.3</v>
      </c>
      <c r="E2" s="2">
        <v>202.43186299999999</v>
      </c>
    </row>
    <row r="3" spans="1:5">
      <c r="D3" s="2">
        <v>229.8</v>
      </c>
      <c r="E3" s="2">
        <v>199.296571</v>
      </c>
    </row>
    <row r="4" spans="1:5">
      <c r="D4">
        <v>203</v>
      </c>
    </row>
    <row r="10" spans="1:5">
      <c r="A10" t="s">
        <v>11</v>
      </c>
      <c r="B10" t="s">
        <v>0</v>
      </c>
      <c r="C10" t="s">
        <v>1</v>
      </c>
      <c r="D10" t="s">
        <v>2</v>
      </c>
      <c r="E10" t="s">
        <v>3</v>
      </c>
    </row>
    <row r="11" spans="1:5">
      <c r="A11" t="s">
        <v>13</v>
      </c>
      <c r="B11" s="2">
        <v>196.47213099999999</v>
      </c>
      <c r="C11" s="2">
        <v>173.82131000000001</v>
      </c>
      <c r="D11" s="2">
        <v>198.79543799999999</v>
      </c>
      <c r="E11" s="2">
        <v>163.93255500000001</v>
      </c>
    </row>
    <row r="12" spans="1:5">
      <c r="D12" s="2">
        <v>178.222846</v>
      </c>
      <c r="E12" s="2">
        <v>162.739048</v>
      </c>
    </row>
    <row r="13" spans="1:5">
      <c r="D13" s="2">
        <v>159.85205300000001</v>
      </c>
    </row>
    <row r="20" spans="1:5">
      <c r="A20" t="s">
        <v>12</v>
      </c>
      <c r="B20" t="s">
        <v>0</v>
      </c>
      <c r="C20" t="s">
        <v>1</v>
      </c>
      <c r="D20" t="s">
        <v>2</v>
      </c>
      <c r="E20" t="s">
        <v>3</v>
      </c>
    </row>
    <row r="21" spans="1:5">
      <c r="A21" t="s">
        <v>13</v>
      </c>
      <c r="B21" s="2">
        <v>270.15974</v>
      </c>
      <c r="C21" s="2">
        <v>263.330444</v>
      </c>
      <c r="D21" s="2">
        <v>262.61755399999998</v>
      </c>
      <c r="E21" s="2">
        <v>229.255077</v>
      </c>
    </row>
    <row r="22" spans="1:5">
      <c r="D22" s="2">
        <v>218.24495300000001</v>
      </c>
      <c r="E22" s="2">
        <v>228.38076899999999</v>
      </c>
    </row>
    <row r="23" spans="1:5">
      <c r="D23" s="2">
        <v>238.32421600000001</v>
      </c>
    </row>
    <row r="24" spans="1:5">
      <c r="D24" s="2">
        <v>216.77056400000001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031-7878-9840-8911-D45D07BEEEE4}">
  <dimension ref="A1"/>
  <sheetViews>
    <sheetView workbookViewId="0">
      <selection activeCell="F17" sqref="F17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5F79-6A1A-2341-8FA3-EBCB9C5FE777}">
  <dimension ref="A1:L35"/>
  <sheetViews>
    <sheetView zoomScale="75" workbookViewId="0">
      <selection activeCell="F18" sqref="F18"/>
    </sheetView>
  </sheetViews>
  <sheetFormatPr baseColWidth="10" defaultRowHeight="20"/>
  <cols>
    <col min="2" max="2" width="26.7109375" customWidth="1"/>
    <col min="3" max="3" width="41.85546875" customWidth="1"/>
    <col min="4" max="4" width="22.140625" customWidth="1"/>
    <col min="5" max="5" width="28.7109375" customWidth="1"/>
    <col min="7" max="7" width="10.7109375" customWidth="1"/>
    <col min="8" max="8" width="19.28515625" customWidth="1"/>
    <col min="9" max="9" width="21.140625" customWidth="1"/>
    <col min="10" max="11" width="17.42578125" customWidth="1"/>
  </cols>
  <sheetData>
    <row r="1" spans="1:12">
      <c r="A1" t="s">
        <v>10</v>
      </c>
      <c r="B1" t="s">
        <v>0</v>
      </c>
      <c r="C1" t="s">
        <v>1</v>
      </c>
      <c r="D1" t="s">
        <v>2</v>
      </c>
      <c r="E1" t="s">
        <v>3</v>
      </c>
      <c r="G1" t="s">
        <v>11</v>
      </c>
      <c r="H1" t="s">
        <v>0</v>
      </c>
      <c r="I1" t="s">
        <v>1</v>
      </c>
      <c r="J1" t="s">
        <v>2</v>
      </c>
      <c r="K1" t="s">
        <v>3</v>
      </c>
    </row>
    <row r="2" spans="1:12">
      <c r="A2" t="s">
        <v>22</v>
      </c>
      <c r="G2" t="s">
        <v>22</v>
      </c>
    </row>
    <row r="3" spans="1:12">
      <c r="A3" t="s">
        <v>25</v>
      </c>
      <c r="G3" t="s">
        <v>25</v>
      </c>
    </row>
    <row r="4" spans="1:12">
      <c r="A4" t="s">
        <v>26</v>
      </c>
      <c r="G4" t="s">
        <v>26</v>
      </c>
    </row>
    <row r="5" spans="1:12">
      <c r="A5" t="s">
        <v>23</v>
      </c>
      <c r="G5" t="s">
        <v>23</v>
      </c>
    </row>
    <row r="6" spans="1:12">
      <c r="A6" t="s">
        <v>27</v>
      </c>
      <c r="G6" t="s">
        <v>27</v>
      </c>
    </row>
    <row r="7" spans="1:12">
      <c r="A7" t="s">
        <v>28</v>
      </c>
      <c r="G7" t="s">
        <v>28</v>
      </c>
    </row>
    <row r="8" spans="1:12">
      <c r="A8" t="s">
        <v>24</v>
      </c>
      <c r="G8" t="s">
        <v>24</v>
      </c>
    </row>
    <row r="9" spans="1:12">
      <c r="A9" t="s">
        <v>29</v>
      </c>
      <c r="G9" t="s">
        <v>29</v>
      </c>
    </row>
    <row r="10" spans="1:12">
      <c r="A10" t="s">
        <v>30</v>
      </c>
      <c r="G10" t="s">
        <v>30</v>
      </c>
    </row>
    <row r="11" spans="1:12">
      <c r="A11" t="s">
        <v>33</v>
      </c>
      <c r="B11">
        <v>2.3801700000000001E-4</v>
      </c>
      <c r="C11">
        <v>2.26795666666666E-4</v>
      </c>
      <c r="D11">
        <v>4.1623499999999999E-4</v>
      </c>
      <c r="E11">
        <v>1.22876333333333E-3</v>
      </c>
      <c r="G11" t="s">
        <v>36</v>
      </c>
      <c r="H11">
        <v>3.4949766666666598E-4</v>
      </c>
      <c r="I11">
        <v>3.5673766666666597E-4</v>
      </c>
      <c r="J11">
        <v>7.4480800000000002E-4</v>
      </c>
      <c r="K11">
        <v>2.6461166666666598E-3</v>
      </c>
      <c r="L11">
        <f>K11/H11</f>
        <v>7.5711998077240334</v>
      </c>
    </row>
    <row r="12" spans="1:12">
      <c r="A12" t="s">
        <v>34</v>
      </c>
      <c r="B12">
        <v>2.4307966666666601E-4</v>
      </c>
      <c r="C12">
        <v>2.2746733333333299E-4</v>
      </c>
      <c r="D12">
        <v>3.7603766666666601E-4</v>
      </c>
      <c r="E12">
        <v>1.2186999999999901E-3</v>
      </c>
      <c r="G12" t="s">
        <v>37</v>
      </c>
      <c r="H12">
        <v>5.82083333333333E-4</v>
      </c>
      <c r="I12">
        <v>6.0023666666666597E-4</v>
      </c>
      <c r="J12">
        <v>1.2595366666666599E-3</v>
      </c>
      <c r="K12">
        <v>3.0817599999999998E-3</v>
      </c>
      <c r="L12">
        <f>K12/H12</f>
        <v>5.2943622047244121</v>
      </c>
    </row>
    <row r="13" spans="1:12">
      <c r="A13" t="s">
        <v>35</v>
      </c>
      <c r="B13">
        <v>1.5360100000000001E-4</v>
      </c>
      <c r="C13">
        <v>2.3366199999999999E-4</v>
      </c>
      <c r="D13">
        <v>3.7509566666666598E-4</v>
      </c>
      <c r="E13">
        <v>1.21260666666666E-3</v>
      </c>
      <c r="G13" t="s">
        <v>35</v>
      </c>
      <c r="H13">
        <v>1.01298466666666E-3</v>
      </c>
      <c r="I13">
        <v>1.3149966666666669E-3</v>
      </c>
      <c r="J13">
        <v>2.4010033333333302E-3</v>
      </c>
      <c r="K13">
        <v>6.7852266666666603E-3</v>
      </c>
      <c r="L13">
        <f>K13/H13</f>
        <v>6.6982520959514735</v>
      </c>
    </row>
    <row r="14" spans="1:12">
      <c r="A14" t="s">
        <v>39</v>
      </c>
      <c r="B14">
        <f>SUM(B11:B13)</f>
        <v>6.3469766666666603E-4</v>
      </c>
      <c r="C14">
        <f t="shared" ref="C14:E14" si="0">SUM(C11:C13)</f>
        <v>6.8792499999999895E-4</v>
      </c>
      <c r="D14">
        <f t="shared" si="0"/>
        <v>1.1673683333333321E-3</v>
      </c>
      <c r="E14">
        <f t="shared" si="0"/>
        <v>3.6600699999999801E-3</v>
      </c>
      <c r="F14">
        <f>E14/B14</f>
        <v>5.7666353481683679</v>
      </c>
      <c r="G14" t="s">
        <v>32</v>
      </c>
      <c r="H14">
        <f>SUM(H11:H13)</f>
        <v>1.944565666666659E-3</v>
      </c>
      <c r="I14">
        <f>SUM(I11:I13)</f>
        <v>2.2719709999999989E-3</v>
      </c>
      <c r="J14">
        <f>SUM(J11:J13)</f>
        <v>4.4053479999999904E-3</v>
      </c>
      <c r="K14">
        <f>SUM(K11:K13)</f>
        <v>1.251310333333332E-2</v>
      </c>
    </row>
    <row r="15" spans="1:12">
      <c r="A15" t="s">
        <v>38</v>
      </c>
      <c r="B15">
        <v>1.944565666666659E-3</v>
      </c>
      <c r="C15">
        <v>2.2719709999999989E-3</v>
      </c>
      <c r="D15">
        <v>4.4053479999999904E-3</v>
      </c>
      <c r="E15">
        <v>1.251310333333332E-2</v>
      </c>
      <c r="F15">
        <f>E15/B15</f>
        <v>6.4349091150946149</v>
      </c>
      <c r="K15">
        <f>K13/K14</f>
        <v>0.54224971103624442</v>
      </c>
    </row>
    <row r="16" spans="1:12">
      <c r="A16" t="s">
        <v>31</v>
      </c>
      <c r="E16">
        <f>E15/E14</f>
        <v>3.4188153049896282</v>
      </c>
    </row>
    <row r="22" spans="2:8">
      <c r="B22">
        <f>E14/B14</f>
        <v>5.7666353481683679</v>
      </c>
      <c r="H22">
        <f>K14/H14</f>
        <v>6.4349091150946149</v>
      </c>
    </row>
    <row r="23" spans="2:8">
      <c r="B23">
        <f>B15/B14</f>
        <v>3.0637668433211944</v>
      </c>
    </row>
    <row r="32" spans="2:8">
      <c r="H32">
        <v>1.2930000000000001E-3</v>
      </c>
    </row>
    <row r="33" spans="8:8">
      <c r="H33">
        <v>1.3269200000000001E-3</v>
      </c>
    </row>
    <row r="34" spans="8:8">
      <c r="H34">
        <v>1.32507E-3</v>
      </c>
    </row>
    <row r="35" spans="8:8">
      <c r="H35">
        <f>AVERAGE(H32:H32:H34)</f>
        <v>1.3149966666666669E-3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59767D-5062-1A46-BC49-549DE2016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LULESH-prepare</vt:lpstr>
      <vt:lpstr>LULESH</vt:lpstr>
      <vt:lpstr>PENNANT</vt:lpstr>
      <vt:lpstr>pennant_leblancbig_records</vt:lpstr>
      <vt:lpstr>BigSort</vt:lpstr>
      <vt:lpstr>Nekbone</vt:lpstr>
      <vt:lpstr>Nekbone-comm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2026-02-08T09:59:18Z</dcterms:created>
  <dcterms:modified xsi:type="dcterms:W3CDTF">2026-04-12T16:31:47Z</dcterms:modified>
</cp:coreProperties>
</file>
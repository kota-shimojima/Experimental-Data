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TPDS/"/>
    </mc:Choice>
  </mc:AlternateContent>
  <xr:revisionPtr revIDLastSave="0" documentId="13_ncr:1_{56BCD9AA-E6B0-F74C-8DE9-2F60411A3CB9}" xr6:coauthVersionLast="47" xr6:coauthVersionMax="47" xr10:uidLastSave="{00000000-0000-0000-0000-000000000000}"/>
  <bookViews>
    <workbookView xWindow="0" yWindow="760" windowWidth="30240" windowHeight="17420" activeTab="1" xr2:uid="{CDDF401D-2DE4-9646-B3FA-38F148DD2580}"/>
  </bookViews>
  <sheets>
    <sheet name="nekbone_metrics_summary" sheetId="4" r:id="rId1"/>
    <sheet name="Nekbone" sheetId="5" r:id="rId2"/>
  </sheets>
  <definedNames>
    <definedName name="ExternalData_3" localSheetId="0" hidden="1">nekbone_metrics_summary!$A$1:$K$17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5" l="1"/>
  <c r="P30" i="5"/>
  <c r="P37" i="5" s="1"/>
  <c r="P29" i="5"/>
  <c r="P36" i="5" s="1"/>
  <c r="P28" i="5"/>
  <c r="L31" i="5"/>
  <c r="L30" i="5"/>
  <c r="L37" i="5" s="1"/>
  <c r="L29" i="5"/>
  <c r="L36" i="5" s="1"/>
  <c r="L28" i="5"/>
  <c r="L35" i="5" s="1"/>
  <c r="H31" i="5"/>
  <c r="H30" i="5"/>
  <c r="H29" i="5"/>
  <c r="H36" i="5" s="1"/>
  <c r="H28" i="5"/>
  <c r="H35" i="5" s="1"/>
  <c r="D31" i="5"/>
  <c r="D38" i="5" s="1"/>
  <c r="D30" i="5"/>
  <c r="D29" i="5"/>
  <c r="D36" i="5" s="1"/>
  <c r="D28" i="5"/>
  <c r="D37" i="5"/>
  <c r="H38" i="5"/>
  <c r="P38" i="5"/>
  <c r="P35" i="5"/>
  <c r="P32" i="5"/>
  <c r="H32" i="5"/>
  <c r="H37" i="5" l="1"/>
  <c r="L38" i="5"/>
  <c r="L32" i="5"/>
  <c r="D35" i="5"/>
  <c r="D3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DC0EEC-0128-6746-A531-44C9714FE3DF}" keepAlive="1" name="クエリ - native-nekbone_metrics_summary" description="ブック内の 'native-nekbone_metrics_summary' クエリへの接続です。" type="5" refreshedVersion="8" background="1" saveData="1">
    <dbPr connection="Provider=Microsoft.Mashup.OleDb.1;Data Source=$Workbook$;Location=native-nekbone_metrics_summary;Extended Properties=&quot;&quot;" command="SELECT * FROM [native-nekbone_metrics_summary]"/>
  </connection>
  <connection id="2" xr16:uid="{431512B0-F3D3-394B-BE86-DAD9C7142A54}" keepAlive="1" name="クエリ - nekbone_metrics_summary" description="ブック内の 'nekbone_metrics_summary' クエリへの接続です。" type="5" refreshedVersion="8" background="1" saveData="1">
    <dbPr connection="Provider=Microsoft.Mashup.OleDb.1;Data Source=$Workbook$;Location=nekbone_metrics_summary;Extended Properties=&quot;&quot;" command="SELECT * FROM [nekbone_metrics_summary]"/>
  </connection>
  <connection id="3" xr16:uid="{3D8513A3-ED3D-6846-AA36-A0C1B2122E02}" keepAlive="1" name="クエリ - tee-nekbone_metrics_summary" description="ブック内の 'tee-nekbone_metrics_summary' クエリへの接続です。" type="5" refreshedVersion="8" background="1" saveData="1">
    <dbPr connection="Provider=Microsoft.Mashup.OleDb.1;Data Source=$Workbook$;Location=tee-nekbone_metrics_summary;Extended Properties=&quot;&quot;" command="SELECT * FROM [tee-nekbone_metrics_summary]"/>
  </connection>
</connections>
</file>

<file path=xl/sharedStrings.xml><?xml version="1.0" encoding="utf-8"?>
<sst xmlns="http://schemas.openxmlformats.org/spreadsheetml/2006/main" count="165" uniqueCount="41">
  <si>
    <t>file</t>
  </si>
  <si>
    <t>runtime</t>
  </si>
  <si>
    <t>mode</t>
  </si>
  <si>
    <t>processes</t>
  </si>
  <si>
    <t>elements</t>
  </si>
  <si>
    <t>MFlops</t>
  </si>
  <si>
    <t>Solver Flop</t>
  </si>
  <si>
    <t>Solve Time</t>
  </si>
  <si>
    <t>/mnt/ebi/shimojima/TPDP/Nekbone/test/example1/Native/results/nekbone-enc-1processes-1.csv</t>
  </si>
  <si>
    <t>Native</t>
  </si>
  <si>
    <t>ENC</t>
  </si>
  <si>
    <t>/mnt/ebi/shimojima/TPDP/Nekbone/test/example1/Native/results/nekbone-enc-2processes-1.csv</t>
  </si>
  <si>
    <t>/mnt/ebi/shimojima/TPDP/Nekbone/test/example1/Native/results/nekbone-enc-4processes-1.csv</t>
  </si>
  <si>
    <t>/mnt/ebi/shimojima/TPDP/Nekbone/test/example1/Native/results/nekbone-enc-8processes-1.csv</t>
  </si>
  <si>
    <t>/mnt/ebi/shimojima/TPDP/Nekbone/test/example1/Native/results/nekbone-native-1processes-1.csv</t>
  </si>
  <si>
    <t>UNENC</t>
  </si>
  <si>
    <t>/mnt/ebi/shimojima/TPDP/Nekbone/test/example1/Native/results/nekbone-native-2processes-1.csv</t>
  </si>
  <si>
    <t>/mnt/ebi/shimojima/TPDP/Nekbone/test/example1/Native/results/nekbone-native-4processes-1.csv</t>
  </si>
  <si>
    <t>/mnt/ebi/shimojima/TPDP/Nekbone/test/example1/Native/results/nekbone-native-8processes-1.csv</t>
  </si>
  <si>
    <t>/mnt/ebi/shimojima/TPDP/Nekbone/test/example1/SGX/results/Nekbone-ENC-1processes-1.csv</t>
  </si>
  <si>
    <t>TEE</t>
  </si>
  <si>
    <t>/mnt/ebi/shimojima/TPDP/Nekbone/test/example1/SGX/results/Nekbone-ENC-2processes-1.csv</t>
  </si>
  <si>
    <t>/mnt/ebi/shimojima/TPDP/Nekbone/test/example1/SGX/results/Nekbone-ENC-4processes-1.csv</t>
  </si>
  <si>
    <t>/mnt/ebi/shimojima/TPDP/Nekbone/test/example1/SGX/results/Nekbone-ENC-8processes-1.csv</t>
  </si>
  <si>
    <t>/mnt/ebi/shimojima/TPDP/Nekbone/test/example1/SGX/results/Nekbone-UNENC-1processes-1.csv</t>
  </si>
  <si>
    <t>/mnt/ebi/shimojima/TPDP/Nekbone/test/example1/SGX/results/Nekbone-UNENC-2processes-1.csv</t>
  </si>
  <si>
    <t>/mnt/ebi/shimojima/TPDP/Nekbone/test/example1/SGX/results/Nekbone-UNENC-4processes-1.csv</t>
  </si>
  <si>
    <t>/mnt/ebi/shimojima/TPDP/Nekbone/test/example1/SGX/results/Nekbone-UNENC-8processes-1.csv</t>
  </si>
  <si>
    <t>Native+ENC</t>
    <phoneticPr fontId="2"/>
  </si>
  <si>
    <t>Native+UNENC</t>
    <phoneticPr fontId="2"/>
  </si>
  <si>
    <t>TEE+ENC</t>
    <phoneticPr fontId="2"/>
  </si>
  <si>
    <t>TEE+UNENC</t>
    <phoneticPr fontId="2"/>
  </si>
  <si>
    <t>Tot MFlops</t>
  </si>
  <si>
    <t>Avg MFlops</t>
  </si>
  <si>
    <t>Setup Flop</t>
  </si>
  <si>
    <t>Native+UNENC</t>
  </si>
  <si>
    <t>Native+ENC</t>
  </si>
  <si>
    <t>TEE+UNENC</t>
  </si>
  <si>
    <t>TEE+ENC</t>
  </si>
  <si>
    <t>Native+UNENC (Baseline)</t>
    <phoneticPr fontId="2"/>
  </si>
  <si>
    <t>TEE+ENC (Proposal)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</si>
</sst>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Nekbone!$A$28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ln w="444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Nekbone!$D$28:$D$31</c:f>
              <c:numCache>
                <c:formatCode>General</c:formatCode>
                <c:ptCount val="4"/>
                <c:pt idx="0">
                  <c:v>5.8784999999999998</c:v>
                </c:pt>
                <c:pt idx="1">
                  <c:v>11.848000000000001</c:v>
                </c:pt>
                <c:pt idx="2">
                  <c:v>24.416</c:v>
                </c:pt>
                <c:pt idx="3">
                  <c:v>42.316000000000003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B-7949-92DA-4996094974DC}"/>
            </c:ext>
          </c:extLst>
        </c:ser>
        <c:ser>
          <c:idx val="1"/>
          <c:order val="1"/>
          <c:tx>
            <c:strRef>
              <c:f>Nekbone!$E$28</c:f>
              <c:strCache>
                <c:ptCount val="1"/>
                <c:pt idx="0">
                  <c:v>Native+ENC</c:v>
                </c:pt>
              </c:strCache>
            </c:strRef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Nekbone!$H$28:$H$31</c:f>
              <c:numCache>
                <c:formatCode>General</c:formatCode>
                <c:ptCount val="4"/>
                <c:pt idx="0">
                  <c:v>5.8719999999999999</c:v>
                </c:pt>
                <c:pt idx="1">
                  <c:v>11.847</c:v>
                </c:pt>
                <c:pt idx="2">
                  <c:v>24.173999999999999</c:v>
                </c:pt>
                <c:pt idx="3">
                  <c:v>41.634999999999998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B-7949-92DA-4996094974DC}"/>
            </c:ext>
          </c:extLst>
        </c:ser>
        <c:ser>
          <c:idx val="2"/>
          <c:order val="2"/>
          <c:tx>
            <c:strRef>
              <c:f>Nekbone!$I$28</c:f>
              <c:strCache>
                <c:ptCount val="1"/>
                <c:pt idx="0">
                  <c:v>TEE+UNENC</c:v>
                </c:pt>
              </c:strCache>
            </c:strRef>
          </c:tx>
          <c:spPr>
            <a:ln w="444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Nekbone!$L$28:$L$31</c:f>
              <c:numCache>
                <c:formatCode>General</c:formatCode>
                <c:ptCount val="4"/>
                <c:pt idx="0">
                  <c:v>4.9611999999999998</c:v>
                </c:pt>
                <c:pt idx="1">
                  <c:v>9.7723999999999993</c:v>
                </c:pt>
                <c:pt idx="2">
                  <c:v>20.053000000000001</c:v>
                </c:pt>
                <c:pt idx="3">
                  <c:v>34.973999999999997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B-7949-92DA-4996094974DC}"/>
            </c:ext>
          </c:extLst>
        </c:ser>
        <c:ser>
          <c:idx val="3"/>
          <c:order val="3"/>
          <c:tx>
            <c:strRef>
              <c:f>Nekbone!$M$28</c:f>
              <c:strCache>
                <c:ptCount val="1"/>
                <c:pt idx="0">
                  <c:v>TEE+ENC (Proposal)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</c:numLit>
          </c:cat>
          <c:val>
            <c:numRef>
              <c:f>Nekbone!$P$28:$P$31</c:f>
              <c:numCache>
                <c:formatCode>General</c:formatCode>
                <c:ptCount val="4"/>
                <c:pt idx="0">
                  <c:v>4.9466999999999999</c:v>
                </c:pt>
                <c:pt idx="1">
                  <c:v>9.5253999999999994</c:v>
                </c:pt>
                <c:pt idx="2">
                  <c:v>18.771000000000001</c:v>
                </c:pt>
                <c:pt idx="3">
                  <c:v>32.372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BB-7949-92DA-49960949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011712"/>
        <c:axId val="644013424"/>
      </c:lineChart>
      <c:catAx>
        <c:axId val="64401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Nodes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013424"/>
        <c:crosses val="autoZero"/>
        <c:auto val="1"/>
        <c:lblAlgn val="ctr"/>
        <c:lblOffset val="100"/>
        <c:noMultiLvlLbl val="0"/>
      </c:catAx>
      <c:valAx>
        <c:axId val="6440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01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535481675901621"/>
          <c:y val="3.2394138232720908E-2"/>
          <c:w val="0.25655876348789736"/>
          <c:h val="0.221322834645669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16</xdr:row>
      <xdr:rowOff>40317</xdr:rowOff>
    </xdr:from>
    <xdr:to>
      <xdr:col>16</xdr:col>
      <xdr:colOff>102755</xdr:colOff>
      <xdr:row>26</xdr:row>
      <xdr:rowOff>116388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3CDA6618-1945-BC48-9890-70621D57D330}"/>
            </a:ext>
          </a:extLst>
        </xdr:cNvPr>
        <xdr:cNvGrpSpPr/>
      </xdr:nvGrpSpPr>
      <xdr:grpSpPr>
        <a:xfrm>
          <a:off x="10422064" y="4233333"/>
          <a:ext cx="4840056" cy="2696706"/>
          <a:chOff x="18846605" y="6604733"/>
          <a:chExt cx="4706375" cy="2794741"/>
        </a:xfrm>
      </xdr:grpSpPr>
      <xdr:grpSp>
        <xdr:nvGrpSpPr>
          <xdr:cNvPr id="5" name="グループ化 4">
            <a:extLst>
              <a:ext uri="{FF2B5EF4-FFF2-40B4-BE49-F238E27FC236}">
                <a16:creationId xmlns:a16="http://schemas.microsoft.com/office/drawing/2014/main" id="{3959C030-4D60-CF5D-7710-B50D9F15F4E7}"/>
              </a:ext>
            </a:extLst>
          </xdr:cNvPr>
          <xdr:cNvGrpSpPr/>
        </xdr:nvGrpSpPr>
        <xdr:grpSpPr>
          <a:xfrm>
            <a:off x="18890767" y="6604733"/>
            <a:ext cx="4662213" cy="507996"/>
            <a:chOff x="25887948" y="4318000"/>
            <a:chExt cx="4699891" cy="508000"/>
          </a:xfrm>
        </xdr:grpSpPr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3CDD7952-1686-D2A2-9BF3-E5A1DD88B77E}"/>
                </a:ext>
              </a:extLst>
            </xdr:cNvPr>
            <xdr:cNvSpPr txBox="1"/>
          </xdr:nvSpPr>
          <xdr:spPr>
            <a:xfrm>
              <a:off x="26629003" y="4318000"/>
              <a:ext cx="3958836" cy="50800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Native+Unenc (Baseline)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19" name="直線コネクタ 18">
              <a:extLst>
                <a:ext uri="{FF2B5EF4-FFF2-40B4-BE49-F238E27FC236}">
                  <a16:creationId xmlns:a16="http://schemas.microsoft.com/office/drawing/2014/main" id="{24547D82-1821-BEC6-C899-EBB9B136D1C6}"/>
                </a:ext>
              </a:extLst>
            </xdr:cNvPr>
            <xdr:cNvCxnSpPr/>
          </xdr:nvCxnSpPr>
          <xdr:spPr>
            <a:xfrm>
              <a:off x="25887948" y="4594281"/>
              <a:ext cx="643912" cy="0"/>
            </a:xfrm>
            <a:prstGeom prst="line">
              <a:avLst/>
            </a:prstGeom>
            <a:ln w="34925">
              <a:solidFill>
                <a:schemeClr val="accent4">
                  <a:lumMod val="60000"/>
                  <a:lumOff val="4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0" name="円/楕円 19">
              <a:extLst>
                <a:ext uri="{FF2B5EF4-FFF2-40B4-BE49-F238E27FC236}">
                  <a16:creationId xmlns:a16="http://schemas.microsoft.com/office/drawing/2014/main" id="{D0977FF9-9668-C912-986F-98B9D921828A}"/>
                </a:ext>
              </a:extLst>
            </xdr:cNvPr>
            <xdr:cNvSpPr/>
          </xdr:nvSpPr>
          <xdr:spPr>
            <a:xfrm>
              <a:off x="26128440" y="4521055"/>
              <a:ext cx="134453" cy="155465"/>
            </a:xfrm>
            <a:prstGeom prst="ellipse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0B8D8574-5DF1-B235-CA55-C0BDE5E7CACD}"/>
              </a:ext>
            </a:extLst>
          </xdr:cNvPr>
          <xdr:cNvGrpSpPr/>
        </xdr:nvGrpSpPr>
        <xdr:grpSpPr>
          <a:xfrm>
            <a:off x="18895895" y="7345660"/>
            <a:ext cx="2641875" cy="507997"/>
            <a:chOff x="25887948" y="4318000"/>
            <a:chExt cx="2663992" cy="508000"/>
          </a:xfrm>
        </xdr:grpSpPr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2E04904D-6A6C-E9A7-5B5D-6D4CBED82B9A}"/>
                </a:ext>
              </a:extLst>
            </xdr:cNvPr>
            <xdr:cNvSpPr txBox="1"/>
          </xdr:nvSpPr>
          <xdr:spPr>
            <a:xfrm>
              <a:off x="26629003" y="4318000"/>
              <a:ext cx="1922937" cy="508000"/>
            </a:xfrm>
            <a:prstGeom prst="rect">
              <a:avLst/>
            </a:prstGeom>
            <a:solidFill>
              <a:schemeClr val="accent4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Native+Enc 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16" name="直線コネクタ 15">
              <a:extLst>
                <a:ext uri="{FF2B5EF4-FFF2-40B4-BE49-F238E27FC236}">
                  <a16:creationId xmlns:a16="http://schemas.microsoft.com/office/drawing/2014/main" id="{E83B086B-7FE8-DB2B-FF92-F9DDF4727223}"/>
                </a:ext>
              </a:extLst>
            </xdr:cNvPr>
            <xdr:cNvCxnSpPr/>
          </xdr:nvCxnSpPr>
          <xdr:spPr>
            <a:xfrm>
              <a:off x="25887948" y="4594281"/>
              <a:ext cx="643912" cy="0"/>
            </a:xfrm>
            <a:prstGeom prst="line">
              <a:avLst/>
            </a:prstGeom>
            <a:solidFill>
              <a:schemeClr val="accent4"/>
            </a:solidFill>
            <a:ln w="34925">
              <a:solidFill>
                <a:schemeClr val="accent4"/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7" name="円/楕円 16">
              <a:extLst>
                <a:ext uri="{FF2B5EF4-FFF2-40B4-BE49-F238E27FC236}">
                  <a16:creationId xmlns:a16="http://schemas.microsoft.com/office/drawing/2014/main" id="{350BD13B-D008-983E-361B-CC0FF7180D35}"/>
                </a:ext>
              </a:extLst>
            </xdr:cNvPr>
            <xdr:cNvSpPr/>
          </xdr:nvSpPr>
          <xdr:spPr>
            <a:xfrm>
              <a:off x="26136899" y="4521056"/>
              <a:ext cx="134453" cy="155465"/>
            </a:xfrm>
            <a:prstGeom prst="ellipse">
              <a:avLst/>
            </a:prstGeom>
            <a:solidFill>
              <a:schemeClr val="accent4"/>
            </a:solidFill>
            <a:ln>
              <a:solidFill>
                <a:schemeClr val="accent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8E1AF280-664C-2792-4CD4-8F0EFBF3410A}"/>
              </a:ext>
            </a:extLst>
          </xdr:cNvPr>
          <xdr:cNvGrpSpPr/>
        </xdr:nvGrpSpPr>
        <xdr:grpSpPr>
          <a:xfrm>
            <a:off x="18898245" y="8133622"/>
            <a:ext cx="2641875" cy="507995"/>
            <a:chOff x="25887948" y="4318000"/>
            <a:chExt cx="2663992" cy="508000"/>
          </a:xfrm>
          <a:solidFill>
            <a:schemeClr val="accent2">
              <a:lumMod val="60000"/>
              <a:lumOff val="40000"/>
            </a:schemeClr>
          </a:solidFill>
        </xdr:grpSpPr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AE04703F-2C02-A18B-60D6-808C4381F909}"/>
                </a:ext>
              </a:extLst>
            </xdr:cNvPr>
            <xdr:cNvSpPr txBox="1"/>
          </xdr:nvSpPr>
          <xdr:spPr>
            <a:xfrm>
              <a:off x="26629003" y="4318000"/>
              <a:ext cx="1922937" cy="508000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TEE+Unenc 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13" name="直線コネクタ 12">
              <a:extLst>
                <a:ext uri="{FF2B5EF4-FFF2-40B4-BE49-F238E27FC236}">
                  <a16:creationId xmlns:a16="http://schemas.microsoft.com/office/drawing/2014/main" id="{CA53C5E3-AADF-7D82-05B3-E8A7861E6787}"/>
                </a:ext>
              </a:extLst>
            </xdr:cNvPr>
            <xdr:cNvCxnSpPr/>
          </xdr:nvCxnSpPr>
          <xdr:spPr>
            <a:xfrm>
              <a:off x="25887948" y="4594281"/>
              <a:ext cx="643912" cy="0"/>
            </a:xfrm>
            <a:prstGeom prst="line">
              <a:avLst/>
            </a:prstGeom>
            <a:grpFill/>
            <a:ln w="34925">
              <a:solidFill>
                <a:schemeClr val="accent2">
                  <a:lumMod val="60000"/>
                  <a:lumOff val="4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4" name="円/楕円 13">
              <a:extLst>
                <a:ext uri="{FF2B5EF4-FFF2-40B4-BE49-F238E27FC236}">
                  <a16:creationId xmlns:a16="http://schemas.microsoft.com/office/drawing/2014/main" id="{201AB40B-329B-644D-11BB-DCF37B5CB601}"/>
                </a:ext>
              </a:extLst>
            </xdr:cNvPr>
            <xdr:cNvSpPr/>
          </xdr:nvSpPr>
          <xdr:spPr>
            <a:xfrm>
              <a:off x="26136899" y="4512588"/>
              <a:ext cx="134453" cy="155465"/>
            </a:xfrm>
            <a:prstGeom prst="ellipse">
              <a:avLst/>
            </a:prstGeom>
            <a:grpFill/>
            <a:ln>
              <a:solidFill>
                <a:schemeClr val="accent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3FF62B50-2F04-74E9-E711-1B51ED0585C4}"/>
              </a:ext>
            </a:extLst>
          </xdr:cNvPr>
          <xdr:cNvGrpSpPr/>
        </xdr:nvGrpSpPr>
        <xdr:grpSpPr>
          <a:xfrm>
            <a:off x="18846605" y="8891478"/>
            <a:ext cx="3808895" cy="507996"/>
            <a:chOff x="25901800" y="4289778"/>
            <a:chExt cx="3839421" cy="508000"/>
          </a:xfrm>
          <a:solidFill>
            <a:schemeClr val="accent2"/>
          </a:solidFill>
        </xdr:grpSpPr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D720EFB1-066B-010F-4D89-1FBF8C217FAD}"/>
                </a:ext>
              </a:extLst>
            </xdr:cNvPr>
            <xdr:cNvSpPr txBox="1"/>
          </xdr:nvSpPr>
          <xdr:spPr>
            <a:xfrm>
              <a:off x="26670561" y="4289778"/>
              <a:ext cx="3070660" cy="508000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 anchorCtr="0"/>
            <a:lstStyle/>
            <a:p>
              <a:r>
                <a:rPr kumimoji="1" lang="en-US" altLang="ja-JP" sz="2800" b="1">
                  <a:latin typeface="+mn-lt"/>
                </a:rPr>
                <a:t>TEE+Enc (Proposal) </a:t>
              </a:r>
              <a:endParaRPr kumimoji="1" lang="ja-JP" altLang="en-US" sz="2800" b="1">
                <a:latin typeface="+mn-lt"/>
              </a:endParaRPr>
            </a:p>
          </xdr:txBody>
        </xdr:sp>
        <xdr:cxnSp macro="">
          <xdr:nvCxnSpPr>
            <xdr:cNvPr id="10" name="直線コネクタ 9">
              <a:extLst>
                <a:ext uri="{FF2B5EF4-FFF2-40B4-BE49-F238E27FC236}">
                  <a16:creationId xmlns:a16="http://schemas.microsoft.com/office/drawing/2014/main" id="{72E9A757-9D06-7978-6158-A6F5B00F2932}"/>
                </a:ext>
              </a:extLst>
            </xdr:cNvPr>
            <xdr:cNvCxnSpPr/>
          </xdr:nvCxnSpPr>
          <xdr:spPr>
            <a:xfrm>
              <a:off x="25901800" y="4551948"/>
              <a:ext cx="643912" cy="0"/>
            </a:xfrm>
            <a:prstGeom prst="line">
              <a:avLst/>
            </a:prstGeom>
            <a:grpFill/>
            <a:ln w="34925">
              <a:solidFill>
                <a:schemeClr val="accent2"/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1" name="円/楕円 10">
              <a:extLst>
                <a:ext uri="{FF2B5EF4-FFF2-40B4-BE49-F238E27FC236}">
                  <a16:creationId xmlns:a16="http://schemas.microsoft.com/office/drawing/2014/main" id="{992A8793-64D1-3CD2-919D-FA3A2C42A89D}"/>
                </a:ext>
              </a:extLst>
            </xdr:cNvPr>
            <xdr:cNvSpPr/>
          </xdr:nvSpPr>
          <xdr:spPr>
            <a:xfrm>
              <a:off x="26150751" y="4478723"/>
              <a:ext cx="134453" cy="155465"/>
            </a:xfrm>
            <a:prstGeom prst="ellipse">
              <a:avLst/>
            </a:prstGeom>
            <a:grp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t" anchorCtr="0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17</xdr:col>
      <xdr:colOff>141112</xdr:colOff>
      <xdr:row>12</xdr:row>
      <xdr:rowOff>20160</xdr:rowOff>
    </xdr:from>
    <xdr:to>
      <xdr:col>34</xdr:col>
      <xdr:colOff>493486</xdr:colOff>
      <xdr:row>46</xdr:row>
      <xdr:rowOff>254001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200454-FF2C-55D5-5E2F-E68051BBC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CDBCCCD-0C0E-B84B-A942-1D21FFE0740E}" autoFormatId="20" applyNumberFormats="0" applyBorderFormats="0" applyFontFormats="0" applyPatternFormats="0" applyAlignmentFormats="0" applyWidthHeightFormats="0">
  <queryTableRefresh nextId="12">
    <queryTableFields count="11">
      <queryTableField id="1" name="file" tableColumnId="1"/>
      <queryTableField id="2" name="runtime" tableColumnId="2"/>
      <queryTableField id="3" name="mode" tableColumnId="3"/>
      <queryTableField id="4" name="processes" tableColumnId="4"/>
      <queryTableField id="5" name="elements" tableColumnId="5"/>
      <queryTableField id="6" name="Tot MFlops" tableColumnId="6"/>
      <queryTableField id="7" name="MFlops" tableColumnId="7"/>
      <queryTableField id="8" name="Avg MFlops" tableColumnId="8"/>
      <queryTableField id="9" name="Setup Flop" tableColumnId="9"/>
      <queryTableField id="10" name="Solver Flop" tableColumnId="10"/>
      <queryTableField id="11" name="Solve Ti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E6BEB0-9A46-FA46-9216-79313FC29238}" name="nekbone_metrics_summary" displayName="nekbone_metrics_summary" ref="A1:K17" tableType="queryTable" totalsRowShown="0">
  <autoFilter ref="A1:K17" xr:uid="{62E6BEB0-9A46-FA46-9216-79313FC29238}"/>
  <tableColumns count="11">
    <tableColumn id="1" xr3:uid="{4984665E-065C-654C-9B91-87ECA417BB73}" uniqueName="1" name="file" queryTableFieldId="1" dataDxfId="2"/>
    <tableColumn id="2" xr3:uid="{468F26C1-AE03-C840-A050-B6661CD2F490}" uniqueName="2" name="runtime" queryTableFieldId="2" dataDxfId="1"/>
    <tableColumn id="3" xr3:uid="{E012DFFA-963D-2941-8F46-E8A89E527EE9}" uniqueName="3" name="mode" queryTableFieldId="3" dataDxfId="0"/>
    <tableColumn id="4" xr3:uid="{B3EB474A-5823-9046-AC09-249F68C06A76}" uniqueName="4" name="processes" queryTableFieldId="4"/>
    <tableColumn id="5" xr3:uid="{9B2A015C-DC58-E341-84EA-C93556C56C47}" uniqueName="5" name="elements" queryTableFieldId="5"/>
    <tableColumn id="6" xr3:uid="{8C53427B-19F1-0044-9365-C50F315AFDB0}" uniqueName="6" name="Tot MFlops" queryTableFieldId="6"/>
    <tableColumn id="7" xr3:uid="{ED4430F6-620C-FC4A-85BF-41B3C2E708BB}" uniqueName="7" name="MFlops" queryTableFieldId="7"/>
    <tableColumn id="8" xr3:uid="{6C55D9C4-DB21-ED48-A46C-9BE208138963}" uniqueName="8" name="Avg MFlops" queryTableFieldId="8"/>
    <tableColumn id="9" xr3:uid="{2E4BC28E-917D-8E4B-8E9D-62873E74A34A}" uniqueName="9" name="Setup Flop" queryTableFieldId="9"/>
    <tableColumn id="10" xr3:uid="{85E33B59-301A-2C46-B141-22B01167E585}" uniqueName="10" name="Solver Flop" queryTableFieldId="10"/>
    <tableColumn id="11" xr3:uid="{BAD2D445-2C8F-974F-A1F8-ACD0E0ACE7C3}" uniqueName="11" name="Solve Tim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7B26-4909-BD44-AC75-BEF1962999C8}">
  <dimension ref="A1:K17"/>
  <sheetViews>
    <sheetView workbookViewId="0">
      <selection activeCell="B1" sqref="B1:K17"/>
    </sheetView>
  </sheetViews>
  <sheetFormatPr baseColWidth="10" defaultRowHeight="20"/>
  <cols>
    <col min="1" max="1" width="80.5703125" bestFit="1" customWidth="1"/>
    <col min="2" max="2" width="10.28515625" bestFit="1" customWidth="1"/>
    <col min="3" max="3" width="8.42578125" bestFit="1" customWidth="1"/>
    <col min="4" max="4" width="12.140625" bestFit="1" customWidth="1"/>
    <col min="5" max="5" width="11.42578125" bestFit="1" customWidth="1"/>
    <col min="6" max="6" width="13.140625" bestFit="1" customWidth="1"/>
    <col min="7" max="7" width="9.85546875" bestFit="1" customWidth="1"/>
    <col min="8" max="8" width="13.28515625" bestFit="1" customWidth="1"/>
    <col min="9" max="9" width="12.7109375" bestFit="1" customWidth="1"/>
    <col min="10" max="10" width="13" bestFit="1" customWidth="1"/>
    <col min="11" max="11" width="12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</v>
      </c>
      <c r="G1" t="s">
        <v>5</v>
      </c>
      <c r="H1" t="s">
        <v>33</v>
      </c>
      <c r="I1" t="s">
        <v>34</v>
      </c>
      <c r="J1" t="s">
        <v>6</v>
      </c>
      <c r="K1" t="s">
        <v>7</v>
      </c>
    </row>
    <row r="2" spans="1:11">
      <c r="A2" t="s">
        <v>8</v>
      </c>
      <c r="B2" t="s">
        <v>9</v>
      </c>
      <c r="C2" t="s">
        <v>10</v>
      </c>
      <c r="D2">
        <v>1</v>
      </c>
      <c r="E2">
        <v>2000</v>
      </c>
      <c r="F2">
        <v>5872</v>
      </c>
      <c r="G2">
        <v>5872</v>
      </c>
      <c r="H2">
        <v>5872</v>
      </c>
      <c r="I2">
        <v>27800000000</v>
      </c>
      <c r="J2">
        <v>3030000000</v>
      </c>
      <c r="K2">
        <v>5.25</v>
      </c>
    </row>
    <row r="3" spans="1:11">
      <c r="A3" t="s">
        <v>11</v>
      </c>
      <c r="B3" t="s">
        <v>9</v>
      </c>
      <c r="C3" t="s">
        <v>10</v>
      </c>
      <c r="D3">
        <v>2</v>
      </c>
      <c r="E3">
        <v>2000</v>
      </c>
      <c r="F3">
        <v>11847</v>
      </c>
      <c r="G3">
        <v>5923.4</v>
      </c>
      <c r="H3">
        <v>11847</v>
      </c>
      <c r="I3">
        <v>13900000000</v>
      </c>
      <c r="J3">
        <v>1515000000</v>
      </c>
      <c r="K3">
        <v>2.6019999999999999</v>
      </c>
    </row>
    <row r="4" spans="1:11">
      <c r="A4" t="s">
        <v>12</v>
      </c>
      <c r="B4" t="s">
        <v>9</v>
      </c>
      <c r="C4" t="s">
        <v>10</v>
      </c>
      <c r="D4">
        <v>4</v>
      </c>
      <c r="E4">
        <v>2000</v>
      </c>
      <c r="F4">
        <v>24174</v>
      </c>
      <c r="G4">
        <v>6043.4</v>
      </c>
      <c r="H4">
        <v>24174</v>
      </c>
      <c r="I4">
        <v>6950000000</v>
      </c>
      <c r="J4">
        <v>757500000</v>
      </c>
      <c r="K4">
        <v>1.2749999999999999</v>
      </c>
    </row>
    <row r="5" spans="1:11">
      <c r="A5" t="s">
        <v>13</v>
      </c>
      <c r="B5" t="s">
        <v>9</v>
      </c>
      <c r="C5" t="s">
        <v>10</v>
      </c>
      <c r="D5">
        <v>8</v>
      </c>
      <c r="E5">
        <v>2000</v>
      </c>
      <c r="F5">
        <v>41635</v>
      </c>
      <c r="G5">
        <v>5204.3999999999996</v>
      </c>
      <c r="H5">
        <v>41635</v>
      </c>
      <c r="I5">
        <v>3475000000</v>
      </c>
      <c r="J5">
        <v>378750000</v>
      </c>
      <c r="K5">
        <v>0.74050000000000005</v>
      </c>
    </row>
    <row r="6" spans="1:11">
      <c r="A6" t="s">
        <v>14</v>
      </c>
      <c r="B6" t="s">
        <v>9</v>
      </c>
      <c r="C6" t="s">
        <v>15</v>
      </c>
      <c r="D6">
        <v>1</v>
      </c>
      <c r="E6">
        <v>2000</v>
      </c>
      <c r="F6">
        <v>5878.5</v>
      </c>
      <c r="G6">
        <v>5878.5</v>
      </c>
      <c r="H6">
        <v>5878.5</v>
      </c>
      <c r="I6">
        <v>27800000000</v>
      </c>
      <c r="J6">
        <v>3030000000</v>
      </c>
      <c r="K6">
        <v>5.2450000000000001</v>
      </c>
    </row>
    <row r="7" spans="1:11">
      <c r="A7" t="s">
        <v>16</v>
      </c>
      <c r="B7" t="s">
        <v>9</v>
      </c>
      <c r="C7" t="s">
        <v>15</v>
      </c>
      <c r="D7">
        <v>2</v>
      </c>
      <c r="E7">
        <v>2000</v>
      </c>
      <c r="F7">
        <v>11848</v>
      </c>
      <c r="G7">
        <v>5924.2</v>
      </c>
      <c r="H7">
        <v>11848</v>
      </c>
      <c r="I7">
        <v>13900000000</v>
      </c>
      <c r="J7">
        <v>1515000000</v>
      </c>
      <c r="K7">
        <v>2.6019999999999999</v>
      </c>
    </row>
    <row r="8" spans="1:11">
      <c r="A8" t="s">
        <v>17</v>
      </c>
      <c r="B8" t="s">
        <v>9</v>
      </c>
      <c r="C8" t="s">
        <v>15</v>
      </c>
      <c r="D8">
        <v>4</v>
      </c>
      <c r="E8">
        <v>2000</v>
      </c>
      <c r="F8">
        <v>24416</v>
      </c>
      <c r="G8">
        <v>6103.9</v>
      </c>
      <c r="H8">
        <v>24416</v>
      </c>
      <c r="I8">
        <v>6950000000</v>
      </c>
      <c r="J8">
        <v>757500000</v>
      </c>
      <c r="K8">
        <v>1.2629999999999999</v>
      </c>
    </row>
    <row r="9" spans="1:11">
      <c r="A9" t="s">
        <v>18</v>
      </c>
      <c r="B9" t="s">
        <v>9</v>
      </c>
      <c r="C9" t="s">
        <v>15</v>
      </c>
      <c r="D9">
        <v>8</v>
      </c>
      <c r="E9">
        <v>2000</v>
      </c>
      <c r="F9">
        <v>42316</v>
      </c>
      <c r="G9">
        <v>5289.5</v>
      </c>
      <c r="H9">
        <v>42316</v>
      </c>
      <c r="I9">
        <v>3475000000</v>
      </c>
      <c r="J9">
        <v>378750000</v>
      </c>
      <c r="K9">
        <v>0.72860000000000003</v>
      </c>
    </row>
    <row r="10" spans="1:11">
      <c r="A10" t="s">
        <v>19</v>
      </c>
      <c r="B10" t="s">
        <v>20</v>
      </c>
      <c r="C10" t="s">
        <v>10</v>
      </c>
      <c r="D10">
        <v>1</v>
      </c>
      <c r="E10">
        <v>2000</v>
      </c>
      <c r="F10">
        <v>4946.7</v>
      </c>
      <c r="G10">
        <v>4946.7</v>
      </c>
      <c r="H10">
        <v>4946.7</v>
      </c>
      <c r="I10">
        <v>27800000000</v>
      </c>
      <c r="J10">
        <v>3030000000</v>
      </c>
      <c r="K10">
        <v>6.2320000000000002</v>
      </c>
    </row>
    <row r="11" spans="1:11">
      <c r="A11" t="s">
        <v>21</v>
      </c>
      <c r="B11" t="s">
        <v>20</v>
      </c>
      <c r="C11" t="s">
        <v>10</v>
      </c>
      <c r="D11">
        <v>2</v>
      </c>
      <c r="E11">
        <v>2000</v>
      </c>
      <c r="F11">
        <v>9525.4</v>
      </c>
      <c r="G11">
        <v>4762.7</v>
      </c>
      <c r="H11">
        <v>9525.4</v>
      </c>
      <c r="I11">
        <v>13900000000</v>
      </c>
      <c r="J11">
        <v>1515000000</v>
      </c>
      <c r="K11">
        <v>3.2370000000000001</v>
      </c>
    </row>
    <row r="12" spans="1:11">
      <c r="A12" t="s">
        <v>22</v>
      </c>
      <c r="B12" t="s">
        <v>20</v>
      </c>
      <c r="C12" t="s">
        <v>10</v>
      </c>
      <c r="D12">
        <v>4</v>
      </c>
      <c r="E12">
        <v>2000</v>
      </c>
      <c r="F12">
        <v>18771</v>
      </c>
      <c r="G12">
        <v>4692.7</v>
      </c>
      <c r="H12">
        <v>18771</v>
      </c>
      <c r="I12">
        <v>6950000000</v>
      </c>
      <c r="J12">
        <v>757500000</v>
      </c>
      <c r="K12">
        <v>1.6419999999999999</v>
      </c>
    </row>
    <row r="13" spans="1:11">
      <c r="A13" t="s">
        <v>23</v>
      </c>
      <c r="B13" t="s">
        <v>20</v>
      </c>
      <c r="C13" t="s">
        <v>10</v>
      </c>
      <c r="D13">
        <v>8</v>
      </c>
      <c r="E13">
        <v>2000</v>
      </c>
      <c r="F13">
        <v>32372</v>
      </c>
      <c r="G13">
        <v>4046.5</v>
      </c>
      <c r="H13">
        <v>32372</v>
      </c>
      <c r="I13">
        <v>3475000000</v>
      </c>
      <c r="J13">
        <v>378750000</v>
      </c>
      <c r="K13">
        <v>0.95240000000000002</v>
      </c>
    </row>
    <row r="14" spans="1:11">
      <c r="A14" t="s">
        <v>24</v>
      </c>
      <c r="B14" t="s">
        <v>20</v>
      </c>
      <c r="C14" t="s">
        <v>15</v>
      </c>
      <c r="D14">
        <v>1</v>
      </c>
      <c r="E14">
        <v>2000</v>
      </c>
      <c r="F14">
        <v>4961.2</v>
      </c>
      <c r="G14">
        <v>4961.2</v>
      </c>
      <c r="H14">
        <v>4961.2</v>
      </c>
      <c r="I14">
        <v>27800000000</v>
      </c>
      <c r="J14">
        <v>3030000000</v>
      </c>
      <c r="K14">
        <v>6.2140000000000004</v>
      </c>
    </row>
    <row r="15" spans="1:11">
      <c r="A15" t="s">
        <v>25</v>
      </c>
      <c r="B15" t="s">
        <v>20</v>
      </c>
      <c r="C15" t="s">
        <v>15</v>
      </c>
      <c r="D15">
        <v>2</v>
      </c>
      <c r="E15">
        <v>2000</v>
      </c>
      <c r="F15">
        <v>9772.4</v>
      </c>
      <c r="G15">
        <v>4886.2</v>
      </c>
      <c r="H15">
        <v>9772.4</v>
      </c>
      <c r="I15">
        <v>13900000000</v>
      </c>
      <c r="J15">
        <v>1515000000</v>
      </c>
      <c r="K15">
        <v>3.1549999999999998</v>
      </c>
    </row>
    <row r="16" spans="1:11">
      <c r="A16" t="s">
        <v>26</v>
      </c>
      <c r="B16" t="s">
        <v>20</v>
      </c>
      <c r="C16" t="s">
        <v>15</v>
      </c>
      <c r="D16">
        <v>4</v>
      </c>
      <c r="E16">
        <v>2000</v>
      </c>
      <c r="F16">
        <v>20053</v>
      </c>
      <c r="G16">
        <v>5013.2</v>
      </c>
      <c r="H16">
        <v>20053</v>
      </c>
      <c r="I16">
        <v>6950000000</v>
      </c>
      <c r="J16">
        <v>757500000</v>
      </c>
      <c r="K16">
        <v>1.5369999999999999</v>
      </c>
    </row>
    <row r="17" spans="1:11">
      <c r="A17" t="s">
        <v>27</v>
      </c>
      <c r="B17" t="s">
        <v>20</v>
      </c>
      <c r="C17" t="s">
        <v>15</v>
      </c>
      <c r="D17">
        <v>8</v>
      </c>
      <c r="E17">
        <v>2000</v>
      </c>
      <c r="F17">
        <v>34974</v>
      </c>
      <c r="G17">
        <v>4371.8</v>
      </c>
      <c r="H17">
        <v>34974</v>
      </c>
      <c r="I17">
        <v>3475000000</v>
      </c>
      <c r="J17">
        <v>378750000</v>
      </c>
      <c r="K17">
        <v>0.88149999999999995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2D45-1706-F843-8755-C2FE695FD393}">
  <dimension ref="A1:P38"/>
  <sheetViews>
    <sheetView tabSelected="1" zoomScale="63" workbookViewId="0">
      <selection activeCell="P32" sqref="P32"/>
    </sheetView>
  </sheetViews>
  <sheetFormatPr baseColWidth="10" defaultRowHeight="20"/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32</v>
      </c>
      <c r="F1" s="1" t="s">
        <v>5</v>
      </c>
      <c r="G1" s="1" t="s">
        <v>33</v>
      </c>
      <c r="H1" s="1" t="s">
        <v>34</v>
      </c>
      <c r="I1" s="1" t="s">
        <v>6</v>
      </c>
      <c r="J1" s="2" t="s">
        <v>7</v>
      </c>
    </row>
    <row r="2" spans="1:10">
      <c r="A2" s="3" t="s">
        <v>9</v>
      </c>
      <c r="B2" s="3" t="s">
        <v>10</v>
      </c>
      <c r="C2" s="3">
        <v>1</v>
      </c>
      <c r="D2" s="3">
        <v>2000</v>
      </c>
      <c r="E2" s="3">
        <v>5872</v>
      </c>
      <c r="F2" s="3">
        <v>5872</v>
      </c>
      <c r="G2" s="3">
        <v>5872</v>
      </c>
      <c r="H2" s="3">
        <v>27800000000</v>
      </c>
      <c r="I2" s="3">
        <v>3030000000</v>
      </c>
      <c r="J2" s="4">
        <v>5.25</v>
      </c>
    </row>
    <row r="3" spans="1:10">
      <c r="A3" s="5" t="s">
        <v>9</v>
      </c>
      <c r="B3" s="5" t="s">
        <v>10</v>
      </c>
      <c r="C3" s="5">
        <v>2</v>
      </c>
      <c r="D3" s="5">
        <v>2000</v>
      </c>
      <c r="E3" s="5">
        <v>11847</v>
      </c>
      <c r="F3" s="5">
        <v>5923.4</v>
      </c>
      <c r="G3" s="5">
        <v>11847</v>
      </c>
      <c r="H3" s="5">
        <v>13900000000</v>
      </c>
      <c r="I3" s="5">
        <v>1515000000</v>
      </c>
      <c r="J3" s="6">
        <v>2.6019999999999999</v>
      </c>
    </row>
    <row r="4" spans="1:10">
      <c r="A4" s="3" t="s">
        <v>9</v>
      </c>
      <c r="B4" s="3" t="s">
        <v>10</v>
      </c>
      <c r="C4" s="3">
        <v>4</v>
      </c>
      <c r="D4" s="3">
        <v>2000</v>
      </c>
      <c r="E4" s="3">
        <v>24174</v>
      </c>
      <c r="F4" s="3">
        <v>6043.4</v>
      </c>
      <c r="G4" s="3">
        <v>24174</v>
      </c>
      <c r="H4" s="3">
        <v>6950000000</v>
      </c>
      <c r="I4" s="3">
        <v>757500000</v>
      </c>
      <c r="J4" s="4">
        <v>1.2749999999999999</v>
      </c>
    </row>
    <row r="5" spans="1:10">
      <c r="A5" s="5" t="s">
        <v>9</v>
      </c>
      <c r="B5" s="5" t="s">
        <v>10</v>
      </c>
      <c r="C5" s="5">
        <v>8</v>
      </c>
      <c r="D5" s="5">
        <v>2000</v>
      </c>
      <c r="E5" s="5">
        <v>41635</v>
      </c>
      <c r="F5" s="5">
        <v>5204.3999999999996</v>
      </c>
      <c r="G5" s="5">
        <v>41635</v>
      </c>
      <c r="H5" s="5">
        <v>3475000000</v>
      </c>
      <c r="I5" s="5">
        <v>378750000</v>
      </c>
      <c r="J5" s="6">
        <v>0.74050000000000005</v>
      </c>
    </row>
    <row r="6" spans="1:10">
      <c r="A6" s="3" t="s">
        <v>9</v>
      </c>
      <c r="B6" s="3" t="s">
        <v>15</v>
      </c>
      <c r="C6" s="3">
        <v>1</v>
      </c>
      <c r="D6" s="3">
        <v>2000</v>
      </c>
      <c r="E6" s="3">
        <v>5878.5</v>
      </c>
      <c r="F6" s="3">
        <v>5878.5</v>
      </c>
      <c r="G6" s="3">
        <v>5878.5</v>
      </c>
      <c r="H6" s="3">
        <v>27800000000</v>
      </c>
      <c r="I6" s="3">
        <v>3030000000</v>
      </c>
      <c r="J6" s="4">
        <v>5.2450000000000001</v>
      </c>
    </row>
    <row r="7" spans="1:10">
      <c r="A7" s="5" t="s">
        <v>9</v>
      </c>
      <c r="B7" s="5" t="s">
        <v>15</v>
      </c>
      <c r="C7" s="5">
        <v>2</v>
      </c>
      <c r="D7" s="5">
        <v>2000</v>
      </c>
      <c r="E7" s="5">
        <v>11848</v>
      </c>
      <c r="F7" s="5">
        <v>5924.2</v>
      </c>
      <c r="G7" s="5">
        <v>11848</v>
      </c>
      <c r="H7" s="5">
        <v>13900000000</v>
      </c>
      <c r="I7" s="5">
        <v>1515000000</v>
      </c>
      <c r="J7" s="6">
        <v>2.6019999999999999</v>
      </c>
    </row>
    <row r="8" spans="1:10">
      <c r="A8" s="3" t="s">
        <v>9</v>
      </c>
      <c r="B8" s="3" t="s">
        <v>15</v>
      </c>
      <c r="C8" s="3">
        <v>4</v>
      </c>
      <c r="D8" s="3">
        <v>2000</v>
      </c>
      <c r="E8" s="3">
        <v>24416</v>
      </c>
      <c r="F8" s="3">
        <v>6103.9</v>
      </c>
      <c r="G8" s="3">
        <v>24416</v>
      </c>
      <c r="H8" s="3">
        <v>6950000000</v>
      </c>
      <c r="I8" s="3">
        <v>757500000</v>
      </c>
      <c r="J8" s="4">
        <v>1.2629999999999999</v>
      </c>
    </row>
    <row r="9" spans="1:10">
      <c r="A9" s="5" t="s">
        <v>9</v>
      </c>
      <c r="B9" s="5" t="s">
        <v>15</v>
      </c>
      <c r="C9" s="5">
        <v>8</v>
      </c>
      <c r="D9" s="5">
        <v>2000</v>
      </c>
      <c r="E9" s="5">
        <v>42316</v>
      </c>
      <c r="F9" s="5">
        <v>5289.5</v>
      </c>
      <c r="G9" s="5">
        <v>42316</v>
      </c>
      <c r="H9" s="5">
        <v>3475000000</v>
      </c>
      <c r="I9" s="5">
        <v>378750000</v>
      </c>
      <c r="J9" s="6">
        <v>0.72860000000000003</v>
      </c>
    </row>
    <row r="10" spans="1:10">
      <c r="A10" s="3" t="s">
        <v>20</v>
      </c>
      <c r="B10" s="3" t="s">
        <v>10</v>
      </c>
      <c r="C10" s="3">
        <v>1</v>
      </c>
      <c r="D10" s="3">
        <v>2000</v>
      </c>
      <c r="E10" s="3">
        <v>4946.7</v>
      </c>
      <c r="F10" s="3">
        <v>4946.7</v>
      </c>
      <c r="G10" s="3">
        <v>4946.7</v>
      </c>
      <c r="H10" s="3">
        <v>27800000000</v>
      </c>
      <c r="I10" s="3">
        <v>3030000000</v>
      </c>
      <c r="J10" s="4">
        <v>6.2320000000000002</v>
      </c>
    </row>
    <row r="11" spans="1:10">
      <c r="A11" s="5" t="s">
        <v>20</v>
      </c>
      <c r="B11" s="5" t="s">
        <v>10</v>
      </c>
      <c r="C11" s="5">
        <v>2</v>
      </c>
      <c r="D11" s="5">
        <v>2000</v>
      </c>
      <c r="E11" s="5">
        <v>9525.4</v>
      </c>
      <c r="F11" s="5">
        <v>4762.7</v>
      </c>
      <c r="G11" s="5">
        <v>9525.4</v>
      </c>
      <c r="H11" s="5">
        <v>13900000000</v>
      </c>
      <c r="I11" s="5">
        <v>1515000000</v>
      </c>
      <c r="J11" s="6">
        <v>3.2370000000000001</v>
      </c>
    </row>
    <row r="12" spans="1:10">
      <c r="A12" s="3" t="s">
        <v>20</v>
      </c>
      <c r="B12" s="3" t="s">
        <v>10</v>
      </c>
      <c r="C12" s="3">
        <v>4</v>
      </c>
      <c r="D12" s="3">
        <v>2000</v>
      </c>
      <c r="E12" s="3">
        <v>18771</v>
      </c>
      <c r="F12" s="3">
        <v>4692.7</v>
      </c>
      <c r="G12" s="3">
        <v>18771</v>
      </c>
      <c r="H12" s="3">
        <v>6950000000</v>
      </c>
      <c r="I12" s="3">
        <v>757500000</v>
      </c>
      <c r="J12" s="4">
        <v>1.6419999999999999</v>
      </c>
    </row>
    <row r="13" spans="1:10">
      <c r="A13" s="5" t="s">
        <v>20</v>
      </c>
      <c r="B13" s="5" t="s">
        <v>10</v>
      </c>
      <c r="C13" s="5">
        <v>8</v>
      </c>
      <c r="D13" s="5">
        <v>2000</v>
      </c>
      <c r="E13" s="5">
        <v>32372</v>
      </c>
      <c r="F13" s="5">
        <v>4046.5</v>
      </c>
      <c r="G13" s="5">
        <v>32372</v>
      </c>
      <c r="H13" s="5">
        <v>3475000000</v>
      </c>
      <c r="I13" s="5">
        <v>378750000</v>
      </c>
      <c r="J13" s="6">
        <v>0.95240000000000002</v>
      </c>
    </row>
    <row r="14" spans="1:10">
      <c r="A14" s="3" t="s">
        <v>20</v>
      </c>
      <c r="B14" s="3" t="s">
        <v>15</v>
      </c>
      <c r="C14" s="3">
        <v>1</v>
      </c>
      <c r="D14" s="3">
        <v>2000</v>
      </c>
      <c r="E14" s="3">
        <v>4961.2</v>
      </c>
      <c r="F14" s="3">
        <v>4961.2</v>
      </c>
      <c r="G14" s="3">
        <v>4961.2</v>
      </c>
      <c r="H14" s="3">
        <v>27800000000</v>
      </c>
      <c r="I14" s="3">
        <v>3030000000</v>
      </c>
      <c r="J14" s="4">
        <v>6.2140000000000004</v>
      </c>
    </row>
    <row r="15" spans="1:10">
      <c r="A15" s="5" t="s">
        <v>20</v>
      </c>
      <c r="B15" s="5" t="s">
        <v>15</v>
      </c>
      <c r="C15" s="5">
        <v>2</v>
      </c>
      <c r="D15" s="5">
        <v>2000</v>
      </c>
      <c r="E15" s="5">
        <v>9772.4</v>
      </c>
      <c r="F15" s="5">
        <v>4886.2</v>
      </c>
      <c r="G15" s="5">
        <v>9772.4</v>
      </c>
      <c r="H15" s="5">
        <v>13900000000</v>
      </c>
      <c r="I15" s="5">
        <v>1515000000</v>
      </c>
      <c r="J15" s="6">
        <v>3.1549999999999998</v>
      </c>
    </row>
    <row r="16" spans="1:10">
      <c r="A16" s="3" t="s">
        <v>20</v>
      </c>
      <c r="B16" s="3" t="s">
        <v>15</v>
      </c>
      <c r="C16" s="3">
        <v>4</v>
      </c>
      <c r="D16" s="3">
        <v>2000</v>
      </c>
      <c r="E16" s="3">
        <v>20053</v>
      </c>
      <c r="F16" s="3">
        <v>5013.2</v>
      </c>
      <c r="G16" s="3">
        <v>20053</v>
      </c>
      <c r="H16" s="3">
        <v>6950000000</v>
      </c>
      <c r="I16" s="3">
        <v>757500000</v>
      </c>
      <c r="J16" s="4">
        <v>1.5369999999999999</v>
      </c>
    </row>
    <row r="17" spans="1:16">
      <c r="A17" s="5" t="s">
        <v>20</v>
      </c>
      <c r="B17" s="5" t="s">
        <v>15</v>
      </c>
      <c r="C17" s="5">
        <v>8</v>
      </c>
      <c r="D17" s="5">
        <v>2000</v>
      </c>
      <c r="E17" s="5">
        <v>34974</v>
      </c>
      <c r="F17" s="5">
        <v>4371.8</v>
      </c>
      <c r="G17" s="5">
        <v>34974</v>
      </c>
      <c r="H17" s="5">
        <v>3475000000</v>
      </c>
      <c r="I17" s="5">
        <v>378750000</v>
      </c>
      <c r="J17" s="6">
        <v>0.88149999999999995</v>
      </c>
    </row>
    <row r="28" spans="1:16">
      <c r="A28" s="3" t="s">
        <v>39</v>
      </c>
      <c r="B28" s="3" t="s">
        <v>15</v>
      </c>
      <c r="C28" s="3">
        <v>1</v>
      </c>
      <c r="D28" s="3">
        <f>5878.5/1000</f>
        <v>5.8784999999999998</v>
      </c>
      <c r="E28" s="3" t="s">
        <v>28</v>
      </c>
      <c r="F28" s="3" t="s">
        <v>10</v>
      </c>
      <c r="G28" s="3">
        <v>1</v>
      </c>
      <c r="H28" s="3">
        <f>5872/1000</f>
        <v>5.8719999999999999</v>
      </c>
      <c r="I28" s="3" t="s">
        <v>31</v>
      </c>
      <c r="J28" s="3" t="s">
        <v>15</v>
      </c>
      <c r="K28" s="3">
        <v>1</v>
      </c>
      <c r="L28" s="3">
        <f>4961.2/1000</f>
        <v>4.9611999999999998</v>
      </c>
      <c r="M28" s="3" t="s">
        <v>40</v>
      </c>
      <c r="N28" s="3" t="s">
        <v>10</v>
      </c>
      <c r="O28" s="3">
        <v>1</v>
      </c>
      <c r="P28" s="3">
        <f>4946.7/1000</f>
        <v>4.9466999999999999</v>
      </c>
    </row>
    <row r="29" spans="1:16">
      <c r="A29" s="3" t="s">
        <v>29</v>
      </c>
      <c r="B29" s="5" t="s">
        <v>15</v>
      </c>
      <c r="C29" s="5">
        <v>2</v>
      </c>
      <c r="D29" s="5">
        <f>11848/1000</f>
        <v>11.848000000000001</v>
      </c>
      <c r="E29" s="3" t="s">
        <v>28</v>
      </c>
      <c r="F29" s="5" t="s">
        <v>10</v>
      </c>
      <c r="G29" s="5">
        <v>2</v>
      </c>
      <c r="H29" s="5">
        <f>11847/1000</f>
        <v>11.847</v>
      </c>
      <c r="I29" s="3" t="s">
        <v>31</v>
      </c>
      <c r="J29" s="5" t="s">
        <v>15</v>
      </c>
      <c r="K29" s="5">
        <v>2</v>
      </c>
      <c r="L29" s="5">
        <f>9772.4/1000</f>
        <v>9.7723999999999993</v>
      </c>
      <c r="M29" s="3" t="s">
        <v>30</v>
      </c>
      <c r="N29" s="5" t="s">
        <v>10</v>
      </c>
      <c r="O29" s="5">
        <v>2</v>
      </c>
      <c r="P29" s="5">
        <f>9525.4/1000</f>
        <v>9.5253999999999994</v>
      </c>
    </row>
    <row r="30" spans="1:16">
      <c r="A30" s="3" t="s">
        <v>29</v>
      </c>
      <c r="B30" s="3" t="s">
        <v>15</v>
      </c>
      <c r="C30" s="3">
        <v>4</v>
      </c>
      <c r="D30" s="3">
        <f>24416/1000</f>
        <v>24.416</v>
      </c>
      <c r="E30" s="3" t="s">
        <v>28</v>
      </c>
      <c r="F30" s="3" t="s">
        <v>10</v>
      </c>
      <c r="G30" s="3">
        <v>4</v>
      </c>
      <c r="H30" s="3">
        <f>24174/1000</f>
        <v>24.173999999999999</v>
      </c>
      <c r="I30" s="3" t="s">
        <v>31</v>
      </c>
      <c r="J30" s="3" t="s">
        <v>15</v>
      </c>
      <c r="K30" s="3">
        <v>4</v>
      </c>
      <c r="L30" s="3">
        <f>20053/1000</f>
        <v>20.053000000000001</v>
      </c>
      <c r="M30" s="3" t="s">
        <v>30</v>
      </c>
      <c r="N30" s="3" t="s">
        <v>10</v>
      </c>
      <c r="O30" s="3">
        <v>4</v>
      </c>
      <c r="P30" s="3">
        <f>18771/1000</f>
        <v>18.771000000000001</v>
      </c>
    </row>
    <row r="31" spans="1:16">
      <c r="A31" s="3" t="s">
        <v>29</v>
      </c>
      <c r="B31" s="5" t="s">
        <v>15</v>
      </c>
      <c r="C31" s="5">
        <v>8</v>
      </c>
      <c r="D31" s="5">
        <f>42316/1000</f>
        <v>42.316000000000003</v>
      </c>
      <c r="E31" s="3" t="s">
        <v>28</v>
      </c>
      <c r="F31" s="5" t="s">
        <v>10</v>
      </c>
      <c r="G31" s="5">
        <v>8</v>
      </c>
      <c r="H31" s="5">
        <f>41635/1000</f>
        <v>41.634999999999998</v>
      </c>
      <c r="I31" s="3" t="s">
        <v>31</v>
      </c>
      <c r="J31" s="5" t="s">
        <v>15</v>
      </c>
      <c r="K31" s="5">
        <v>8</v>
      </c>
      <c r="L31" s="5">
        <f>34974/1000</f>
        <v>34.973999999999997</v>
      </c>
      <c r="M31" s="3" t="s">
        <v>30</v>
      </c>
      <c r="N31" s="5" t="s">
        <v>10</v>
      </c>
      <c r="O31" s="5">
        <v>8</v>
      </c>
      <c r="P31" s="5">
        <f>32372/1000</f>
        <v>32.372</v>
      </c>
    </row>
    <row r="32" spans="1:16">
      <c r="D32">
        <f>D31/D28</f>
        <v>7.1984349749085661</v>
      </c>
      <c r="H32">
        <f>H31/H28</f>
        <v>7.0904291553133509</v>
      </c>
      <c r="L32">
        <f>L31/L28</f>
        <v>7.0495041522212363</v>
      </c>
      <c r="P32">
        <f>P31/P28</f>
        <v>6.5441607536337356</v>
      </c>
    </row>
    <row r="35" spans="1:16">
      <c r="A35" t="s">
        <v>35</v>
      </c>
      <c r="B35" t="s">
        <v>15</v>
      </c>
      <c r="C35">
        <v>1</v>
      </c>
      <c r="D35">
        <f>D28/P28</f>
        <v>1.1883680029110315</v>
      </c>
      <c r="E35" t="s">
        <v>36</v>
      </c>
      <c r="F35" t="s">
        <v>10</v>
      </c>
      <c r="G35">
        <v>1</v>
      </c>
      <c r="H35">
        <f>H28/P28</f>
        <v>1.1870539955930217</v>
      </c>
      <c r="I35" t="s">
        <v>37</v>
      </c>
      <c r="J35" t="s">
        <v>15</v>
      </c>
      <c r="K35">
        <v>1</v>
      </c>
      <c r="L35">
        <f>L28/P28</f>
        <v>1.0029312470940224</v>
      </c>
      <c r="M35" t="s">
        <v>38</v>
      </c>
      <c r="N35" t="s">
        <v>10</v>
      </c>
      <c r="O35">
        <v>1</v>
      </c>
      <c r="P35">
        <f>P28/P28</f>
        <v>1</v>
      </c>
    </row>
    <row r="36" spans="1:16">
      <c r="A36" t="s">
        <v>35</v>
      </c>
      <c r="B36" t="s">
        <v>15</v>
      </c>
      <c r="C36">
        <v>2</v>
      </c>
      <c r="D36">
        <f>D29/P28</f>
        <v>2.3951321082742032</v>
      </c>
      <c r="E36" t="s">
        <v>36</v>
      </c>
      <c r="F36" t="s">
        <v>10</v>
      </c>
      <c r="G36">
        <v>2</v>
      </c>
      <c r="H36">
        <f>H29/P28</f>
        <v>2.3949299533022015</v>
      </c>
      <c r="I36" t="s">
        <v>37</v>
      </c>
      <c r="J36" t="s">
        <v>15</v>
      </c>
      <c r="K36">
        <v>2</v>
      </c>
      <c r="L36">
        <f>L29/P28</f>
        <v>1.975539248387814</v>
      </c>
      <c r="M36" t="s">
        <v>38</v>
      </c>
      <c r="N36" t="s">
        <v>10</v>
      </c>
      <c r="O36">
        <v>2</v>
      </c>
      <c r="P36">
        <f>P29/P28</f>
        <v>1.9256069703034346</v>
      </c>
    </row>
    <row r="37" spans="1:16">
      <c r="A37" t="s">
        <v>35</v>
      </c>
      <c r="B37" t="s">
        <v>15</v>
      </c>
      <c r="C37">
        <v>4</v>
      </c>
      <c r="D37">
        <f>D30/P28</f>
        <v>4.9358157963895124</v>
      </c>
      <c r="E37" t="s">
        <v>36</v>
      </c>
      <c r="F37" t="s">
        <v>10</v>
      </c>
      <c r="G37">
        <v>4</v>
      </c>
      <c r="H37">
        <f>H30/P28</f>
        <v>4.88689429316514</v>
      </c>
      <c r="I37" t="s">
        <v>37</v>
      </c>
      <c r="J37" t="s">
        <v>15</v>
      </c>
      <c r="K37">
        <v>4</v>
      </c>
      <c r="L37">
        <f>L30/P28</f>
        <v>4.0538136535468094</v>
      </c>
      <c r="M37" t="s">
        <v>38</v>
      </c>
      <c r="N37" t="s">
        <v>10</v>
      </c>
      <c r="O37">
        <v>4</v>
      </c>
      <c r="P37">
        <f>P30/P28</f>
        <v>3.7946509794408394</v>
      </c>
    </row>
    <row r="38" spans="1:16">
      <c r="A38" t="s">
        <v>35</v>
      </c>
      <c r="B38" t="s">
        <v>15</v>
      </c>
      <c r="C38">
        <v>8</v>
      </c>
      <c r="D38">
        <f>D31/P28</f>
        <v>8.5543897952170145</v>
      </c>
      <c r="E38" t="s">
        <v>36</v>
      </c>
      <c r="F38" t="s">
        <v>10</v>
      </c>
      <c r="G38">
        <v>8</v>
      </c>
      <c r="H38">
        <f>H31/P28</f>
        <v>8.4167222592839668</v>
      </c>
      <c r="I38" t="s">
        <v>37</v>
      </c>
      <c r="J38" t="s">
        <v>15</v>
      </c>
      <c r="K38">
        <v>8</v>
      </c>
      <c r="L38">
        <f>L31/P28</f>
        <v>7.0701679907817327</v>
      </c>
      <c r="M38" t="s">
        <v>38</v>
      </c>
      <c r="N38" t="s">
        <v>10</v>
      </c>
      <c r="O38">
        <v>8</v>
      </c>
      <c r="P38">
        <f>P31/P28</f>
        <v>6.5441607536337356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0B39E2-C135-5D43-A7F0-569D506F14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nekbone_metrics_summary</vt:lpstr>
      <vt:lpstr>Nekbone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2026-03-23T14:15:49Z</dcterms:created>
  <dcterms:modified xsi:type="dcterms:W3CDTF">2026-05-02T10:18:34Z</dcterms:modified>
</cp:coreProperties>
</file>
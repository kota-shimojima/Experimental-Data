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Experimental-Data/TPDS/"/>
    </mc:Choice>
  </mc:AlternateContent>
  <xr:revisionPtr revIDLastSave="0" documentId="13_ncr:1_{660A5C9D-372F-4E40-A9DE-D74DFBA53BC6}" xr6:coauthVersionLast="47" xr6:coauthVersionMax="47" xr10:uidLastSave="{00000000-0000-0000-0000-000000000000}"/>
  <bookViews>
    <workbookView xWindow="0" yWindow="760" windowWidth="30240" windowHeight="17420" activeTab="2" xr2:uid="{90F98B5A-A88F-0E44-A2E3-DBA14D0078E0}"/>
  </bookViews>
  <sheets>
    <sheet name="BT" sheetId="1" r:id="rId1"/>
    <sheet name="CG" sheetId="2" r:id="rId2"/>
    <sheet name="EP" sheetId="3" r:id="rId3"/>
    <sheet name="SP" sheetId="4" r:id="rId4"/>
    <sheet name="native-bt_cg_ep_sp_extracted_re" sheetId="6" r:id="rId5"/>
  </sheets>
  <definedNames>
    <definedName name="ExternalData_1" localSheetId="4" hidden="1">'native-bt_cg_ep_sp_extracted_re'!$A$1:$P$121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3" l="1"/>
  <c r="P28" i="3"/>
  <c r="P27" i="3"/>
  <c r="P26" i="3"/>
  <c r="L29" i="3"/>
  <c r="L28" i="3"/>
  <c r="L34" i="3" s="1"/>
  <c r="L27" i="3"/>
  <c r="L33" i="3" s="1"/>
  <c r="L26" i="3"/>
  <c r="L32" i="3" s="1"/>
  <c r="H29" i="3"/>
  <c r="H28" i="3"/>
  <c r="H27" i="3"/>
  <c r="H33" i="3" s="1"/>
  <c r="H26" i="3"/>
  <c r="D29" i="3"/>
  <c r="D35" i="3" s="1"/>
  <c r="D28" i="3"/>
  <c r="D34" i="3" s="1"/>
  <c r="D27" i="3"/>
  <c r="D26" i="3"/>
  <c r="P33" i="2"/>
  <c r="P32" i="2"/>
  <c r="P39" i="2" s="1"/>
  <c r="P31" i="2"/>
  <c r="P38" i="2" s="1"/>
  <c r="P30" i="2"/>
  <c r="L33" i="2"/>
  <c r="L40" i="2" s="1"/>
  <c r="L32" i="2"/>
  <c r="L31" i="2"/>
  <c r="L38" i="2" s="1"/>
  <c r="L30" i="2"/>
  <c r="H33" i="2"/>
  <c r="H32" i="2"/>
  <c r="H31" i="2"/>
  <c r="H38" i="2" s="1"/>
  <c r="H30" i="2"/>
  <c r="H37" i="2" s="1"/>
  <c r="D33" i="2"/>
  <c r="D40" i="2" s="1"/>
  <c r="D32" i="2"/>
  <c r="D31" i="2"/>
  <c r="D30" i="2"/>
  <c r="P24" i="1"/>
  <c r="P23" i="1"/>
  <c r="P22" i="1"/>
  <c r="L24" i="1"/>
  <c r="L31" i="1" s="1"/>
  <c r="L23" i="1"/>
  <c r="L30" i="1" s="1"/>
  <c r="L22" i="1"/>
  <c r="H24" i="1"/>
  <c r="H31" i="1" s="1"/>
  <c r="H23" i="1"/>
  <c r="H22" i="1"/>
  <c r="D24" i="1"/>
  <c r="D23" i="1"/>
  <c r="D30" i="1" s="1"/>
  <c r="D22" i="1"/>
  <c r="P34" i="3"/>
  <c r="P33" i="3"/>
  <c r="P32" i="3"/>
  <c r="H34" i="3"/>
  <c r="H32" i="3"/>
  <c r="P37" i="2"/>
  <c r="D39" i="2"/>
  <c r="D37" i="2"/>
  <c r="P29" i="1"/>
  <c r="H29" i="1"/>
  <c r="D29" i="1"/>
  <c r="D35" i="2"/>
  <c r="P34" i="2"/>
  <c r="H34" i="2"/>
  <c r="D34" i="2"/>
  <c r="L28" i="1"/>
  <c r="H30" i="3"/>
  <c r="P25" i="1"/>
  <c r="L25" i="1"/>
  <c r="H25" i="1"/>
  <c r="P35" i="3" l="1"/>
  <c r="P30" i="3"/>
  <c r="H35" i="3"/>
  <c r="D33" i="3"/>
  <c r="L35" i="3"/>
  <c r="L30" i="3"/>
  <c r="D32" i="3"/>
  <c r="D30" i="3"/>
  <c r="P35" i="2"/>
  <c r="P40" i="2"/>
  <c r="H40" i="2"/>
  <c r="D38" i="2"/>
  <c r="L39" i="2"/>
  <c r="L35" i="2"/>
  <c r="L37" i="2"/>
  <c r="L34" i="2"/>
  <c r="H39" i="2"/>
  <c r="H35" i="2"/>
  <c r="H30" i="1"/>
  <c r="P31" i="1"/>
  <c r="P30" i="1"/>
  <c r="L29" i="1"/>
  <c r="L27" i="1"/>
  <c r="D31" i="1"/>
  <c r="D2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9E670E-0DA1-C047-A448-0BF7308E7158}" keepAlive="1" name="クエリ - native-bt_cg_ep_sp_extracted_results" description="ブック内の 'native-bt_cg_ep_sp_extracted_results' クエリへの接続です。" type="5" refreshedVersion="8" background="1" saveData="1">
    <dbPr connection="Provider=Microsoft.Mashup.OleDb.1;Data Source=$Workbook$;Location=native-bt_cg_ep_sp_extracted_results;Extended Properties=&quot;&quot;" command="SELECT * FROM [native-bt_cg_ep_sp_extracted_results]"/>
  </connection>
  <connection id="2" xr16:uid="{BAEC58C8-13C9-374C-8A32-626560DDE36C}" keepAlive="1" name="クエリ - tee-bt_cg_ep_sp_extracted_results" description="ブック内の 'tee-bt_cg_ep_sp_extracted_results' クエリへの接続です。" type="5" refreshedVersion="0" background="1">
    <dbPr connection="Provider=Microsoft.Mashup.OleDb.1;Data Source=$Workbook$;Location=tee-bt_cg_ep_sp_extracted_results;Extended Properties=&quot;&quot;" command="SELECT * FROM [tee-bt_cg_ep_sp_extracted_results]"/>
  </connection>
</connections>
</file>

<file path=xl/sharedStrings.xml><?xml version="1.0" encoding="utf-8"?>
<sst xmlns="http://schemas.openxmlformats.org/spreadsheetml/2006/main" count="1690" uniqueCount="165">
  <si>
    <t>benchmark</t>
  </si>
  <si>
    <t>environment</t>
  </si>
  <si>
    <t>encryption</t>
  </si>
  <si>
    <t>processes</t>
  </si>
  <si>
    <t>run</t>
  </si>
  <si>
    <t>class</t>
  </si>
  <si>
    <t>size</t>
  </si>
  <si>
    <t>iterations</t>
  </si>
  <si>
    <t>time_seconds</t>
  </si>
  <si>
    <t>total_processes</t>
  </si>
  <si>
    <t>active_processes</t>
  </si>
  <si>
    <t>mops_total</t>
  </si>
  <si>
    <t>mops_per_process</t>
  </si>
  <si>
    <t>operation_type</t>
  </si>
  <si>
    <t>verification</t>
  </si>
  <si>
    <t>source_file</t>
  </si>
  <si>
    <t>BT</t>
  </si>
  <si>
    <t>Native</t>
  </si>
  <si>
    <t>ENC</t>
  </si>
  <si>
    <t>C</t>
  </si>
  <si>
    <t>162x 162x 162</t>
  </si>
  <si>
    <t>floating point</t>
  </si>
  <si>
    <t>SUCCESSFUL</t>
  </si>
  <si>
    <t>/mnt/ebi/shimojima/TPDP/NPB3.4.4/NPB3.4-MPI/Native/results/bt-enc-1processes-1.csv</t>
  </si>
  <si>
    <t>/mnt/ebi/shimojima/TPDP/NPB3.4.4/NPB3.4-MPI/Native/results/bt-enc-4processes-1.csv</t>
  </si>
  <si>
    <t>/mnt/ebi/shimojima/TPDP/NPB3.4.4/NPB3.4-MPI/Native/results/bt-enc-16processes-1.csv</t>
  </si>
  <si>
    <t>UNENC</t>
  </si>
  <si>
    <t>/mnt/ebi/shimojima/TPDP/NPB3.4.4/NPB3.4-MPI/Native/results/bt-unenc-1processes-1.csv</t>
  </si>
  <si>
    <t>/mnt/ebi/shimojima/TPDP/NPB3.4.4/NPB3.4-MPI/Native/results/bt-unenc-4processes-1.csv</t>
  </si>
  <si>
    <t>/mnt/ebi/shimojima/TPDP/NPB3.4.4/NPB3.4-MPI/Native/results/bt-unenc-16processes-1.csv</t>
  </si>
  <si>
    <t>SGX</t>
  </si>
  <si>
    <t>/mnt/ebi/shimojima/TPDP/NPB3.4.4/NPB3.4-MPI/SGX/results/BT-ENC-1processes-1.csv</t>
  </si>
  <si>
    <t>/mnt/ebi/shimojima/TPDP/NPB3.4.4/NPB3.4-MPI/SGX/results/BT-ENC-4processes-1.csv</t>
  </si>
  <si>
    <t>/mnt/ebi/shimojima/TPDP/NPB3.4.4/NPB3.4-MPI/SGX/results/BT-ENC-16processes-1.csv</t>
  </si>
  <si>
    <t>/mnt/ebi/shimojima/TPDP/NPB3.4.4/NPB3.4-MPI/SGX/results/BT-UNENC-1processes-1.csv</t>
  </si>
  <si>
    <t>/mnt/ebi/shimojima/TPDP/NPB3.4.4/NPB3.4-MPI/SGX/results/BT-UNENC-4processes-1.csv</t>
  </si>
  <si>
    <t>/mnt/ebi/shimojima/TPDP/NPB3.4.4/NPB3.4-MPI/SGX/results/BT-UNENC-16processes-1.csv</t>
  </si>
  <si>
    <t>CG</t>
  </si>
  <si>
    <t>150000</t>
  </si>
  <si>
    <t>/mnt/ebi/shimojima/TPDP/NPB3.4.4/NPB3.4-MPI/Native/results/cg-enc-1processes-1.csv</t>
  </si>
  <si>
    <t>/mnt/ebi/shimojima/TPDP/NPB3.4.4/NPB3.4-MPI/Native/results/cg-enc-2processes-1.csv</t>
  </si>
  <si>
    <t>/mnt/ebi/shimojima/TPDP/NPB3.4.4/NPB3.4-MPI/Native/results/cg-enc-4processes-1.csv</t>
  </si>
  <si>
    <t>/mnt/ebi/shimojima/TPDP/NPB3.4.4/NPB3.4-MPI/Native/results/cg-enc-8processes-1.csv</t>
  </si>
  <si>
    <t>/mnt/ebi/shimojima/TPDP/NPB3.4.4/NPB3.4-MPI/Native/results/cg-unenc-1processes-1.csv</t>
  </si>
  <si>
    <t>/mnt/ebi/shimojima/TPDP/NPB3.4.4/NPB3.4-MPI/Native/results/cg-unenc-2processes-1.csv</t>
  </si>
  <si>
    <t>/mnt/ebi/shimojima/TPDP/NPB3.4.4/NPB3.4-MPI/Native/results/cg-unenc-4processes-1.csv</t>
  </si>
  <si>
    <t>/mnt/ebi/shimojima/TPDP/NPB3.4.4/NPB3.4-MPI/Native/results/cg-unenc-8processes-1.csv</t>
  </si>
  <si>
    <t>/mnt/ebi/shimojima/TPDP/NPB3.4.4/NPB3.4-MPI/SGX/results/CG-ENC-1processes-1.csv</t>
  </si>
  <si>
    <t>/mnt/ebi/shimojima/TPDP/NPB3.4.4/NPB3.4-MPI/SGX/results/CG-ENC-1processes-2.csv</t>
  </si>
  <si>
    <t>/mnt/ebi/shimojima/TPDP/NPB3.4.4/NPB3.4-MPI/SGX/results/CG-ENC-1processes-3.csv</t>
  </si>
  <si>
    <t>/mnt/ebi/shimojima/TPDP/NPB3.4.4/NPB3.4-MPI/SGX/results/CG-ENC-1processes-4.csv</t>
  </si>
  <si>
    <t>/mnt/ebi/shimojima/TPDP/NPB3.4.4/NPB3.4-MPI/SGX/results/CG-ENC-1processes-5.csv</t>
  </si>
  <si>
    <t>/mnt/ebi/shimojima/TPDP/NPB3.4.4/NPB3.4-MPI/SGX/results/CG-ENC-2processes-1.csv</t>
  </si>
  <si>
    <t>/mnt/ebi/shimojima/TPDP/NPB3.4.4/NPB3.4-MPI/SGX/results/CG-ENC-2processes-2.csv</t>
  </si>
  <si>
    <t>/mnt/ebi/shimojima/TPDP/NPB3.4.4/NPB3.4-MPI/SGX/results/CG-ENC-2processes-3.csv</t>
  </si>
  <si>
    <t>/mnt/ebi/shimojima/TPDP/NPB3.4.4/NPB3.4-MPI/SGX/results/CG-ENC-2processes-4.csv</t>
  </si>
  <si>
    <t>/mnt/ebi/shimojima/TPDP/NPB3.4.4/NPB3.4-MPI/SGX/results/CG-ENC-2processes-5.csv</t>
  </si>
  <si>
    <t>/mnt/ebi/shimojima/TPDP/NPB3.4.4/NPB3.4-MPI/SGX/results/CG-ENC-4processes-1.csv</t>
  </si>
  <si>
    <t>/mnt/ebi/shimojima/TPDP/NPB3.4.4/NPB3.4-MPI/SGX/results/CG-ENC-4processes-2.csv</t>
  </si>
  <si>
    <t>/mnt/ebi/shimojima/TPDP/NPB3.4.4/NPB3.4-MPI/SGX/results/CG-ENC-4processes-3.csv</t>
  </si>
  <si>
    <t>/mnt/ebi/shimojima/TPDP/NPB3.4.4/NPB3.4-MPI/SGX/results/CG-ENC-4processes-4.csv</t>
  </si>
  <si>
    <t>/mnt/ebi/shimojima/TPDP/NPB3.4.4/NPB3.4-MPI/SGX/results/CG-ENC-4processes-5.csv</t>
  </si>
  <si>
    <t>/mnt/ebi/shimojima/TPDP/NPB3.4.4/NPB3.4-MPI/SGX/results/CG-ENC-8processes-1.csv</t>
  </si>
  <si>
    <t>/mnt/ebi/shimojima/TPDP/NPB3.4.4/NPB3.4-MPI/SGX/results/CG-ENC-8processes-2.csv</t>
  </si>
  <si>
    <t>/mnt/ebi/shimojima/TPDP/NPB3.4.4/NPB3.4-MPI/SGX/results/CG-ENC-8processes-3.csv</t>
  </si>
  <si>
    <t>/mnt/ebi/shimojima/TPDP/NPB3.4.4/NPB3.4-MPI/SGX/results/CG-ENC-8processes-4.csv</t>
  </si>
  <si>
    <t>/mnt/ebi/shimojima/TPDP/NPB3.4.4/NPB3.4-MPI/SGX/results/CG-ENC-8processes-5.csv</t>
  </si>
  <si>
    <t>/mnt/ebi/shimojima/TPDP/NPB3.4.4/NPB3.4-MPI/SGX/results/CG-UNENC-1processes-1.csv</t>
  </si>
  <si>
    <t>/mnt/ebi/shimojima/TPDP/NPB3.4.4/NPB3.4-MPI/SGX/results/CG-UNENC-1processes-2.csv</t>
  </si>
  <si>
    <t>/mnt/ebi/shimojima/TPDP/NPB3.4.4/NPB3.4-MPI/SGX/results/CG-UNENC-1processes-3.csv</t>
  </si>
  <si>
    <t>/mnt/ebi/shimojima/TPDP/NPB3.4.4/NPB3.4-MPI/SGX/results/CG-UNENC-1processes-4.csv</t>
  </si>
  <si>
    <t>/mnt/ebi/shimojima/TPDP/NPB3.4.4/NPB3.4-MPI/SGX/results/CG-UNENC-1processes-5.csv</t>
  </si>
  <si>
    <t>/mnt/ebi/shimojima/TPDP/NPB3.4.4/NPB3.4-MPI/SGX/results/CG-UNENC-2processes-1.csv</t>
  </si>
  <si>
    <t>/mnt/ebi/shimojima/TPDP/NPB3.4.4/NPB3.4-MPI/SGX/results/CG-UNENC-2processes-2.csv</t>
  </si>
  <si>
    <t>/mnt/ebi/shimojima/TPDP/NPB3.4.4/NPB3.4-MPI/SGX/results/CG-UNENC-2processes-3.csv</t>
  </si>
  <si>
    <t>/mnt/ebi/shimojima/TPDP/NPB3.4.4/NPB3.4-MPI/SGX/results/CG-UNENC-2processes-4.csv</t>
  </si>
  <si>
    <t>/mnt/ebi/shimojima/TPDP/NPB3.4.4/NPB3.4-MPI/SGX/results/CG-UNENC-2processes-5.csv</t>
  </si>
  <si>
    <t>/mnt/ebi/shimojima/TPDP/NPB3.4.4/NPB3.4-MPI/SGX/results/CG-UNENC-4processes-1.csv</t>
  </si>
  <si>
    <t>/mnt/ebi/shimojima/TPDP/NPB3.4.4/NPB3.4-MPI/SGX/results/CG-UNENC-4processes-2.csv</t>
  </si>
  <si>
    <t>/mnt/ebi/shimojima/TPDP/NPB3.4.4/NPB3.4-MPI/SGX/results/CG-UNENC-4processes-3.csv</t>
  </si>
  <si>
    <t>/mnt/ebi/shimojima/TPDP/NPB3.4.4/NPB3.4-MPI/SGX/results/CG-UNENC-4processes-4.csv</t>
  </si>
  <si>
    <t>/mnt/ebi/shimojima/TPDP/NPB3.4.4/NPB3.4-MPI/SGX/results/CG-UNENC-4processes-5.csv</t>
  </si>
  <si>
    <t>/mnt/ebi/shimojima/TPDP/NPB3.4.4/NPB3.4-MPI/SGX/results/CG-UNENC-8processes-1.csv</t>
  </si>
  <si>
    <t>/mnt/ebi/shimojima/TPDP/NPB3.4.4/NPB3.4-MPI/SGX/results/CG-UNENC-8processes-2.csv</t>
  </si>
  <si>
    <t>/mnt/ebi/shimojima/TPDP/NPB3.4.4/NPB3.4-MPI/SGX/results/CG-UNENC-8processes-3.csv</t>
  </si>
  <si>
    <t>/mnt/ebi/shimojima/TPDP/NPB3.4.4/NPB3.4-MPI/SGX/results/CG-UNENC-8processes-4.csv</t>
  </si>
  <si>
    <t>/mnt/ebi/shimojima/TPDP/NPB3.4.4/NPB3.4-MPI/SGX/results/CG-UNENC-8processes-5.csv</t>
  </si>
  <si>
    <t>EP</t>
  </si>
  <si>
    <t>8589934592</t>
  </si>
  <si>
    <t>Random numbers generated</t>
  </si>
  <si>
    <t>/mnt/ebi/shimojima/TPDP/NPB3.4.4/NPB3.4-MPI/Native/results/ep-enc-1processes-1.csv</t>
  </si>
  <si>
    <t>/mnt/ebi/shimojima/TPDP/NPB3.4.4/NPB3.4-MPI/Native/results/ep-enc-2processes-1.csv</t>
  </si>
  <si>
    <t/>
  </si>
  <si>
    <t>/mnt/ebi/shimojima/TPDP/NPB3.4.4/NPB3.4-MPI/Native/results/ep-enc-4processes-1.csv</t>
  </si>
  <si>
    <t>/mnt/ebi/shimojima/TPDP/NPB3.4.4/NPB3.4-MPI/Native/results/ep-enc-8processes-1.csv</t>
  </si>
  <si>
    <t>/mnt/ebi/shimojima/TPDP/NPB3.4.4/NPB3.4-MPI/Native/results/ep-unenc-1processes-1.csv</t>
  </si>
  <si>
    <t>/mnt/ebi/shimojima/TPDP/NPB3.4.4/NPB3.4-MPI/Native/results/ep-unenc-2processes-1.csv</t>
  </si>
  <si>
    <t>/mnt/ebi/shimojima/TPDP/NPB3.4.4/NPB3.4-MPI/Native/results/ep-unenc-4processes-1.csv</t>
  </si>
  <si>
    <t>/mnt/ebi/shimojima/TPDP/NPB3.4.4/NPB3.4-MPI/Native/results/ep-unenc-8processes-1.csv</t>
  </si>
  <si>
    <t>/mnt/ebi/shimojima/TPDP/NPB3.4.4/NPB3.4-MPI/SGX/results/EP-ENC-1processes-1.csv</t>
  </si>
  <si>
    <t>/mnt/ebi/shimojima/TPDP/NPB3.4.4/NPB3.4-MPI/SGX/results/EP-ENC-1processes-2.csv</t>
  </si>
  <si>
    <t>/mnt/ebi/shimojima/TPDP/NPB3.4.4/NPB3.4-MPI/SGX/results/EP-ENC-1processes-3.csv</t>
  </si>
  <si>
    <t>/mnt/ebi/shimojima/TPDP/NPB3.4.4/NPB3.4-MPI/SGX/results/EP-ENC-1processes-4.csv</t>
  </si>
  <si>
    <t>/mnt/ebi/shimojima/TPDP/NPB3.4.4/NPB3.4-MPI/SGX/results/EP-ENC-1processes-5.csv</t>
  </si>
  <si>
    <t>/mnt/ebi/shimojima/TPDP/NPB3.4.4/NPB3.4-MPI/SGX/results/EP-ENC-2processes-1.csv</t>
  </si>
  <si>
    <t>/mnt/ebi/shimojima/TPDP/NPB3.4.4/NPB3.4-MPI/SGX/results/EP-ENC-2processes-2.csv</t>
  </si>
  <si>
    <t>/mnt/ebi/shimojima/TPDP/NPB3.4.4/NPB3.4-MPI/SGX/results/EP-ENC-2processes-3.csv</t>
  </si>
  <si>
    <t>/mnt/ebi/shimojima/TPDP/NPB3.4.4/NPB3.4-MPI/SGX/results/EP-ENC-2processes-4.csv</t>
  </si>
  <si>
    <t>/mnt/ebi/shimojima/TPDP/NPB3.4.4/NPB3.4-MPI/SGX/results/EP-ENC-2processes-5.csv</t>
  </si>
  <si>
    <t>/mnt/ebi/shimojima/TPDP/NPB3.4.4/NPB3.4-MPI/SGX/results/EP-ENC-4processes-1.csv</t>
  </si>
  <si>
    <t>/mnt/ebi/shimojima/TPDP/NPB3.4.4/NPB3.4-MPI/SGX/results/EP-ENC-4processes-2.csv</t>
  </si>
  <si>
    <t>/mnt/ebi/shimojima/TPDP/NPB3.4.4/NPB3.4-MPI/SGX/results/EP-ENC-4processes-3.csv</t>
  </si>
  <si>
    <t>/mnt/ebi/shimojima/TPDP/NPB3.4.4/NPB3.4-MPI/SGX/results/EP-ENC-4processes-4.csv</t>
  </si>
  <si>
    <t>/mnt/ebi/shimojima/TPDP/NPB3.4.4/NPB3.4-MPI/SGX/results/EP-ENC-4processes-5.csv</t>
  </si>
  <si>
    <t>/mnt/ebi/shimojima/TPDP/NPB3.4.4/NPB3.4-MPI/SGX/results/EP-ENC-8processes-1.csv</t>
  </si>
  <si>
    <t>/mnt/ebi/shimojima/TPDP/NPB3.4.4/NPB3.4-MPI/SGX/results/EP-ENC-8processes-2.csv</t>
  </si>
  <si>
    <t>/mnt/ebi/shimojima/TPDP/NPB3.4.4/NPB3.4-MPI/SGX/results/EP-ENC-8processes-3.csv</t>
  </si>
  <si>
    <t>/mnt/ebi/shimojima/TPDP/NPB3.4.4/NPB3.4-MPI/SGX/results/EP-ENC-8processes-4.csv</t>
  </si>
  <si>
    <t>/mnt/ebi/shimojima/TPDP/NPB3.4.4/NPB3.4-MPI/SGX/results/EP-ENC-8processes-5.csv</t>
  </si>
  <si>
    <t>/mnt/ebi/shimojima/TPDP/NPB3.4.4/NPB3.4-MPI/SGX/results/EP-UNENC-1processes-1.csv</t>
  </si>
  <si>
    <t>/mnt/ebi/shimojima/TPDP/NPB3.4.4/NPB3.4-MPI/SGX/results/EP-UNENC-1processes-2.csv</t>
  </si>
  <si>
    <t>/mnt/ebi/shimojima/TPDP/NPB3.4.4/NPB3.4-MPI/SGX/results/EP-UNENC-1processes-3.csv</t>
  </si>
  <si>
    <t>/mnt/ebi/shimojima/TPDP/NPB3.4.4/NPB3.4-MPI/SGX/results/EP-UNENC-1processes-4.csv</t>
  </si>
  <si>
    <t>/mnt/ebi/shimojima/TPDP/NPB3.4.4/NPB3.4-MPI/SGX/results/EP-UNENC-1processes-5.csv</t>
  </si>
  <si>
    <t>/mnt/ebi/shimojima/TPDP/NPB3.4.4/NPB3.4-MPI/SGX/results/EP-UNENC-2processes-1.csv</t>
  </si>
  <si>
    <t>/mnt/ebi/shimojima/TPDP/NPB3.4.4/NPB3.4-MPI/SGX/results/EP-UNENC-2processes-2.csv</t>
  </si>
  <si>
    <t>/mnt/ebi/shimojima/TPDP/NPB3.4.4/NPB3.4-MPI/SGX/results/EP-UNENC-2processes-3.csv</t>
  </si>
  <si>
    <t>/mnt/ebi/shimojima/TPDP/NPB3.4.4/NPB3.4-MPI/SGX/results/EP-UNENC-2processes-4.csv</t>
  </si>
  <si>
    <t>/mnt/ebi/shimojima/TPDP/NPB3.4.4/NPB3.4-MPI/SGX/results/EP-UNENC-2processes-5.csv</t>
  </si>
  <si>
    <t>/mnt/ebi/shimojima/TPDP/NPB3.4.4/NPB3.4-MPI/SGX/results/EP-UNENC-4processes-1.csv</t>
  </si>
  <si>
    <t>/mnt/ebi/shimojima/TPDP/NPB3.4.4/NPB3.4-MPI/SGX/results/EP-UNENC-4processes-2.csv</t>
  </si>
  <si>
    <t>/mnt/ebi/shimojima/TPDP/NPB3.4.4/NPB3.4-MPI/SGX/results/EP-UNENC-4processes-3.csv</t>
  </si>
  <si>
    <t>/mnt/ebi/shimojima/TPDP/NPB3.4.4/NPB3.4-MPI/SGX/results/EP-UNENC-4processes-4.csv</t>
  </si>
  <si>
    <t>/mnt/ebi/shimojima/TPDP/NPB3.4.4/NPB3.4-MPI/SGX/results/EP-UNENC-4processes-5.csv</t>
  </si>
  <si>
    <t>/mnt/ebi/shimojima/TPDP/NPB3.4.4/NPB3.4-MPI/SGX/results/EP-UNENC-8processes-1.csv</t>
  </si>
  <si>
    <t>/mnt/ebi/shimojima/TPDP/NPB3.4.4/NPB3.4-MPI/SGX/results/EP-UNENC-8processes-2.csv</t>
  </si>
  <si>
    <t>/mnt/ebi/shimojima/TPDP/NPB3.4.4/NPB3.4-MPI/SGX/results/EP-UNENC-8processes-3.csv</t>
  </si>
  <si>
    <t>/mnt/ebi/shimojima/TPDP/NPB3.4.4/NPB3.4-MPI/SGX/results/EP-UNENC-8processes-4.csv</t>
  </si>
  <si>
    <t>/mnt/ebi/shimojima/TPDP/NPB3.4.4/NPB3.4-MPI/SGX/results/EP-UNENC-8processes-5.csv</t>
  </si>
  <si>
    <t>SP</t>
  </si>
  <si>
    <t>/mnt/ebi/shimojima/TPDP/NPB3.4.4/NPB3.4-MPI/Native/results/sp-enc-1processes-1.csv</t>
  </si>
  <si>
    <t>/mnt/ebi/shimojima/TPDP/NPB3.4.4/NPB3.4-MPI/Native/results/sp-enc-4processes-1.csv</t>
  </si>
  <si>
    <t>/mnt/ebi/shimojima/TPDP/NPB3.4.4/NPB3.4-MPI/Native/results/sp-enc-16processes-1.csv</t>
  </si>
  <si>
    <t>/mnt/ebi/shimojima/TPDP/NPB3.4.4/NPB3.4-MPI/Native/results/sp-unenc-1processes-1.csv</t>
  </si>
  <si>
    <t>/mnt/ebi/shimojima/TPDP/NPB3.4.4/NPB3.4-MPI/Native/results/sp-unenc-4processes-1.csv</t>
  </si>
  <si>
    <t>/mnt/ebi/shimojima/TPDP/NPB3.4.4/NPB3.4-MPI/Native/results/sp-unenc-16processes-1.csv</t>
  </si>
  <si>
    <t>/mnt/ebi/shimojima/TPDP/NPB3.4.4/NPB3.4-MPI/SGX/results/SP-ENC-1processes-1.csv</t>
  </si>
  <si>
    <t>/mnt/ebi/shimojima/TPDP/NPB3.4.4/NPB3.4-MPI/SGX/results/SP-ENC-4processes-1.csv</t>
  </si>
  <si>
    <t>/mnt/ebi/shimojima/TPDP/NPB3.4.4/NPB3.4-MPI/SGX/results/SP-ENC-16processes-1.csv</t>
  </si>
  <si>
    <t>/mnt/ebi/shimojima/TPDP/NPB3.4.4/NPB3.4-MPI/SGX/results/SP-UNENC-1processes-1.csv</t>
  </si>
  <si>
    <t>/mnt/ebi/shimojima/TPDP/NPB3.4.4/NPB3.4-MPI/SGX/results/SP-UNENC-4processes-1.csv</t>
  </si>
  <si>
    <t>/mnt/ebi/shimojima/TPDP/NPB3.4.4/NPB3.4-MPI/SGX/results/SP-UNENC-16processes-1.csv</t>
  </si>
  <si>
    <t>TEE+ENC</t>
    <phoneticPr fontId="1"/>
  </si>
  <si>
    <t>TEE+UNENC</t>
    <phoneticPr fontId="1"/>
  </si>
  <si>
    <t>Native+ENC</t>
    <phoneticPr fontId="1"/>
  </si>
  <si>
    <t>Native+UNENC</t>
    <phoneticPr fontId="1"/>
  </si>
  <si>
    <t>ENC</t>
    <phoneticPr fontId="1"/>
  </si>
  <si>
    <t>1-&gt;4</t>
    <phoneticPr fontId="1"/>
  </si>
  <si>
    <t>4-&gt;8</t>
    <phoneticPr fontId="1"/>
  </si>
  <si>
    <t>Native+UNENC</t>
  </si>
  <si>
    <t>Native+ENC</t>
  </si>
  <si>
    <t>TEE+UNENC</t>
  </si>
  <si>
    <t>TEE+ENC</t>
  </si>
  <si>
    <t>Native+UNENC (Baseline)</t>
    <phoneticPr fontId="1"/>
  </si>
  <si>
    <t>TEE+ENC (Proposal)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</si>
</sst>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theme="1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0" borderId="2" xfId="0" applyBorder="1">
      <alignment vertical="center"/>
    </xf>
    <xf numFmtId="0" fontId="2" fillId="2" borderId="3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BT!$A$22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ln w="444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BT!$D$22:$D$24</c:f>
              <c:numCache>
                <c:formatCode>General</c:formatCode>
                <c:ptCount val="3"/>
                <c:pt idx="0">
                  <c:v>4.4958900000000002</c:v>
                </c:pt>
                <c:pt idx="1">
                  <c:v>17.511150000000001</c:v>
                </c:pt>
                <c:pt idx="2">
                  <c:v>39.810890000000001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E-FC40-BA1A-BB00600D34BE}"/>
            </c:ext>
          </c:extLst>
        </c:ser>
        <c:ser>
          <c:idx val="1"/>
          <c:order val="1"/>
          <c:tx>
            <c:strRef>
              <c:f>BT!$E$22</c:f>
              <c:strCache>
                <c:ptCount val="1"/>
                <c:pt idx="0">
                  <c:v>Native+ENC</c:v>
                </c:pt>
              </c:strCache>
            </c:strRef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BT!$H$22:$H$24</c:f>
              <c:numCache>
                <c:formatCode>General</c:formatCode>
                <c:ptCount val="3"/>
                <c:pt idx="0">
                  <c:v>4.4947100000000004</c:v>
                </c:pt>
                <c:pt idx="1">
                  <c:v>17.333650000000002</c:v>
                </c:pt>
                <c:pt idx="2">
                  <c:v>38.729099999999995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E-FC40-BA1A-BB00600D34BE}"/>
            </c:ext>
          </c:extLst>
        </c:ser>
        <c:ser>
          <c:idx val="2"/>
          <c:order val="2"/>
          <c:tx>
            <c:strRef>
              <c:f>BT!$I$22</c:f>
              <c:strCache>
                <c:ptCount val="1"/>
                <c:pt idx="0">
                  <c:v>TEE+UNENC</c:v>
                </c:pt>
              </c:strCache>
            </c:strRef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BT!$L$22:$L$24</c:f>
              <c:numCache>
                <c:formatCode>General</c:formatCode>
                <c:ptCount val="3"/>
                <c:pt idx="0">
                  <c:v>3.3469000000000002</c:v>
                </c:pt>
                <c:pt idx="1">
                  <c:v>13.01581</c:v>
                </c:pt>
                <c:pt idx="2">
                  <c:v>31.589119999999998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5E-FC40-BA1A-BB00600D34BE}"/>
            </c:ext>
          </c:extLst>
        </c:ser>
        <c:ser>
          <c:idx val="3"/>
          <c:order val="3"/>
          <c:tx>
            <c:strRef>
              <c:f>BT!$M$22</c:f>
              <c:strCache>
                <c:ptCount val="1"/>
                <c:pt idx="0">
                  <c:v>TEE+ENC (Proposal)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BT!$P$22:$P$24</c:f>
              <c:numCache>
                <c:formatCode>General</c:formatCode>
                <c:ptCount val="3"/>
                <c:pt idx="0">
                  <c:v>3.3580700000000001</c:v>
                </c:pt>
                <c:pt idx="1">
                  <c:v>12.514790000000001</c:v>
                </c:pt>
                <c:pt idx="2">
                  <c:v>30.6873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5E-FC40-BA1A-BB00600D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922432"/>
        <c:axId val="1201128256"/>
      </c:lineChart>
      <c:catAx>
        <c:axId val="120092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1128256"/>
        <c:crosses val="autoZero"/>
        <c:auto val="1"/>
        <c:lblAlgn val="ctr"/>
        <c:lblOffset val="100"/>
        <c:noMultiLvlLbl val="0"/>
      </c:catAx>
      <c:valAx>
        <c:axId val="12011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GFlops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09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642658207525196"/>
          <c:y val="2.5893959247833574E-2"/>
          <c:w val="0.26464080553877872"/>
          <c:h val="0.2176146857940368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CG!$A$30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ln w="444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CG!$D$30:$D$33</c:f>
              <c:numCache>
                <c:formatCode>General</c:formatCode>
                <c:ptCount val="4"/>
                <c:pt idx="0">
                  <c:v>1.18381</c:v>
                </c:pt>
                <c:pt idx="1">
                  <c:v>3.0926799999999997</c:v>
                </c:pt>
                <c:pt idx="2">
                  <c:v>5.3357399999999995</c:v>
                </c:pt>
                <c:pt idx="3">
                  <c:v>3.43255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1-0B4B-A6FF-E7D82DF406B5}"/>
            </c:ext>
          </c:extLst>
        </c:ser>
        <c:ser>
          <c:idx val="1"/>
          <c:order val="1"/>
          <c:tx>
            <c:strRef>
              <c:f>CG!$E$30</c:f>
              <c:strCache>
                <c:ptCount val="1"/>
                <c:pt idx="0">
                  <c:v>Native+ENC</c:v>
                </c:pt>
              </c:strCache>
            </c:strRef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CG!$H$30:$H$33</c:f>
              <c:numCache>
                <c:formatCode>General</c:formatCode>
                <c:ptCount val="4"/>
                <c:pt idx="0">
                  <c:v>1.1672499999999999</c:v>
                </c:pt>
                <c:pt idx="1">
                  <c:v>3.0083699999999998</c:v>
                </c:pt>
                <c:pt idx="2">
                  <c:v>5.2790900000000001</c:v>
                </c:pt>
                <c:pt idx="3">
                  <c:v>3.38863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1-0B4B-A6FF-E7D82DF406B5}"/>
            </c:ext>
          </c:extLst>
        </c:ser>
        <c:ser>
          <c:idx val="2"/>
          <c:order val="2"/>
          <c:tx>
            <c:strRef>
              <c:f>CG!$I$30</c:f>
              <c:strCache>
                <c:ptCount val="1"/>
                <c:pt idx="0">
                  <c:v>TEE+UNENC</c:v>
                </c:pt>
              </c:strCache>
            </c:strRef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CG!$L$30:$L$33</c:f>
              <c:numCache>
                <c:formatCode>General</c:formatCode>
                <c:ptCount val="4"/>
                <c:pt idx="0">
                  <c:v>1.04396</c:v>
                </c:pt>
                <c:pt idx="1">
                  <c:v>2.53945</c:v>
                </c:pt>
                <c:pt idx="2">
                  <c:v>4.2734499999999995</c:v>
                </c:pt>
                <c:pt idx="3">
                  <c:v>3.21062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1-0B4B-A6FF-E7D82DF406B5}"/>
            </c:ext>
          </c:extLst>
        </c:ser>
        <c:ser>
          <c:idx val="3"/>
          <c:order val="3"/>
          <c:tx>
            <c:strRef>
              <c:f>CG!$M$30</c:f>
              <c:strCache>
                <c:ptCount val="1"/>
                <c:pt idx="0">
                  <c:v>TEE+ENC (Proposal)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CG!$P$30:$P$33</c:f>
              <c:numCache>
                <c:formatCode>General</c:formatCode>
                <c:ptCount val="4"/>
                <c:pt idx="0">
                  <c:v>1.0353399999999999</c:v>
                </c:pt>
                <c:pt idx="1">
                  <c:v>2.3893200000000001</c:v>
                </c:pt>
                <c:pt idx="2">
                  <c:v>3.8877100000000002</c:v>
                </c:pt>
                <c:pt idx="3">
                  <c:v>3.1253800000000003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1-0B4B-A6FF-E7D82DF4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161312"/>
        <c:axId val="644163024"/>
      </c:lineChart>
      <c:catAx>
        <c:axId val="64416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163024"/>
        <c:crosses val="autoZero"/>
        <c:auto val="1"/>
        <c:lblAlgn val="ctr"/>
        <c:lblOffset val="100"/>
        <c:noMultiLvlLbl val="0"/>
      </c:catAx>
      <c:valAx>
        <c:axId val="64416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GFlops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16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283524252215945"/>
          <c:y val="2.9575022591443081E-2"/>
          <c:w val="0.27096682156043156"/>
          <c:h val="0.209489602220180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EP!$A$26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ln w="444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EP!$D$26:$D$29</c:f>
              <c:numCache>
                <c:formatCode>General</c:formatCode>
                <c:ptCount val="4"/>
                <c:pt idx="0">
                  <c:v>0.13666</c:v>
                </c:pt>
                <c:pt idx="1">
                  <c:v>0.27267000000000002</c:v>
                </c:pt>
                <c:pt idx="2">
                  <c:v>0.54554999999999998</c:v>
                </c:pt>
                <c:pt idx="3">
                  <c:v>0.96563999999999994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F-AC49-9FDC-F68CACA32468}"/>
            </c:ext>
          </c:extLst>
        </c:ser>
        <c:ser>
          <c:idx val="1"/>
          <c:order val="1"/>
          <c:tx>
            <c:strRef>
              <c:f>EP!$E$26</c:f>
              <c:strCache>
                <c:ptCount val="1"/>
                <c:pt idx="0">
                  <c:v>Native+ENC</c:v>
                </c:pt>
              </c:strCache>
            </c:strRef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EP!$H$26:$H$29</c:f>
              <c:numCache>
                <c:formatCode>General</c:formatCode>
                <c:ptCount val="4"/>
                <c:pt idx="0">
                  <c:v>0.13639999999999999</c:v>
                </c:pt>
                <c:pt idx="1">
                  <c:v>0.27304</c:v>
                </c:pt>
                <c:pt idx="2">
                  <c:v>0.54507000000000005</c:v>
                </c:pt>
                <c:pt idx="3">
                  <c:v>0.96454999999999991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F-AC49-9FDC-F68CACA32468}"/>
            </c:ext>
          </c:extLst>
        </c:ser>
        <c:ser>
          <c:idx val="2"/>
          <c:order val="2"/>
          <c:tx>
            <c:strRef>
              <c:f>EP!$I$26</c:f>
              <c:strCache>
                <c:ptCount val="1"/>
                <c:pt idx="0">
                  <c:v>TEE+UNENC</c:v>
                </c:pt>
              </c:strCache>
            </c:strRef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EP!$L$26:$L$29</c:f>
              <c:numCache>
                <c:formatCode>General</c:formatCode>
                <c:ptCount val="4"/>
                <c:pt idx="0">
                  <c:v>5.4229999999999993E-2</c:v>
                </c:pt>
                <c:pt idx="1">
                  <c:v>0.10845</c:v>
                </c:pt>
                <c:pt idx="2">
                  <c:v>0.21690999999999999</c:v>
                </c:pt>
                <c:pt idx="3">
                  <c:v>0.38338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EF-AC49-9FDC-F68CACA32468}"/>
            </c:ext>
          </c:extLst>
        </c:ser>
        <c:ser>
          <c:idx val="3"/>
          <c:order val="3"/>
          <c:tx>
            <c:strRef>
              <c:f>EP!$M$26</c:f>
              <c:strCache>
                <c:ptCount val="1"/>
                <c:pt idx="0">
                  <c:v>TEE+ENC (Proposal)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EP!$P$26:$P$29</c:f>
              <c:numCache>
                <c:formatCode>General</c:formatCode>
                <c:ptCount val="4"/>
                <c:pt idx="0">
                  <c:v>5.4240000000000003E-2</c:v>
                </c:pt>
                <c:pt idx="1">
                  <c:v>0.10845999999999999</c:v>
                </c:pt>
                <c:pt idx="2">
                  <c:v>0.21681999999999998</c:v>
                </c:pt>
                <c:pt idx="3">
                  <c:v>0.38347000000000003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EF-AC49-9FDC-F68CACA32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196880"/>
        <c:axId val="644198592"/>
      </c:lineChart>
      <c:catAx>
        <c:axId val="64419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198592"/>
        <c:crosses val="autoZero"/>
        <c:auto val="1"/>
        <c:lblAlgn val="ctr"/>
        <c:lblOffset val="100"/>
        <c:noMultiLvlLbl val="0"/>
      </c:catAx>
      <c:valAx>
        <c:axId val="6441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GOPS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19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0001236190153516"/>
          <c:y val="3.0129702667333603E-2"/>
          <c:w val="0.26261461871587277"/>
          <c:h val="0.272152574108501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SP!$A$20</c:f>
              <c:strCache>
                <c:ptCount val="1"/>
                <c:pt idx="0">
                  <c:v>Native+UNENC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16</c:v>
              </c:pt>
            </c:numLit>
          </c:cat>
          <c:val>
            <c:numRef>
              <c:f>SP!$D$20:$D$22</c:f>
              <c:numCache>
                <c:formatCode>General</c:formatCode>
                <c:ptCount val="3"/>
                <c:pt idx="0">
                  <c:v>3370.46</c:v>
                </c:pt>
                <c:pt idx="1">
                  <c:v>13347.32</c:v>
                </c:pt>
                <c:pt idx="2">
                  <c:v>15118.36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1-0144-8184-6F7022F2758B}"/>
            </c:ext>
          </c:extLst>
        </c:ser>
        <c:ser>
          <c:idx val="1"/>
          <c:order val="1"/>
          <c:tx>
            <c:strRef>
              <c:f>SP!$E$20</c:f>
              <c:strCache>
                <c:ptCount val="1"/>
                <c:pt idx="0">
                  <c:v>Native+ENC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16</c:v>
              </c:pt>
            </c:numLit>
          </c:cat>
          <c:val>
            <c:numRef>
              <c:f>SP!$H$20:$H$22</c:f>
              <c:numCache>
                <c:formatCode>General</c:formatCode>
                <c:ptCount val="3"/>
                <c:pt idx="0">
                  <c:v>3417.4</c:v>
                </c:pt>
                <c:pt idx="1">
                  <c:v>13376.61</c:v>
                </c:pt>
                <c:pt idx="2">
                  <c:v>14735.63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71-0144-8184-6F7022F2758B}"/>
            </c:ext>
          </c:extLst>
        </c:ser>
        <c:ser>
          <c:idx val="2"/>
          <c:order val="2"/>
          <c:tx>
            <c:strRef>
              <c:f>SP!$I$20</c:f>
              <c:strCache>
                <c:ptCount val="1"/>
                <c:pt idx="0">
                  <c:v>TEE+UNENC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16</c:v>
              </c:pt>
            </c:numLit>
          </c:cat>
          <c:val>
            <c:numRef>
              <c:f>SP!$L$20:$L$22</c:f>
              <c:numCache>
                <c:formatCode>General</c:formatCode>
                <c:ptCount val="3"/>
                <c:pt idx="0">
                  <c:v>2792.78</c:v>
                </c:pt>
                <c:pt idx="1">
                  <c:v>10847.36</c:v>
                </c:pt>
                <c:pt idx="2">
                  <c:v>14091.34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71-0144-8184-6F7022F2758B}"/>
            </c:ext>
          </c:extLst>
        </c:ser>
        <c:ser>
          <c:idx val="3"/>
          <c:order val="3"/>
          <c:tx>
            <c:strRef>
              <c:f>SP!$M$20</c:f>
              <c:strCache>
                <c:ptCount val="1"/>
                <c:pt idx="0">
                  <c:v>TEE+ENC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16</c:v>
              </c:pt>
            </c:numLit>
          </c:cat>
          <c:val>
            <c:numRef>
              <c:f>SP!$P$20:$P$22</c:f>
              <c:numCache>
                <c:formatCode>General</c:formatCode>
                <c:ptCount val="3"/>
                <c:pt idx="0">
                  <c:v>2776.47</c:v>
                </c:pt>
                <c:pt idx="1">
                  <c:v>10845.39</c:v>
                </c:pt>
                <c:pt idx="2">
                  <c:v>14306.47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71-0144-8184-6F7022F27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196512"/>
        <c:axId val="1201198224"/>
      </c:lineChart>
      <c:catAx>
        <c:axId val="120119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Number of Processes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1198224"/>
        <c:crosses val="autoZero"/>
        <c:auto val="1"/>
        <c:lblAlgn val="ctr"/>
        <c:lblOffset val="100"/>
        <c:noMultiLvlLbl val="0"/>
      </c:catAx>
      <c:valAx>
        <c:axId val="12011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MFlops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119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23595173470208"/>
          <c:y val="2.2892434498319288E-2"/>
          <c:w val="0.22450597941468917"/>
          <c:h val="0.37769236082331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553959</xdr:colOff>
      <xdr:row>41</xdr:row>
      <xdr:rowOff>209197</xdr:rowOff>
    </xdr:from>
    <xdr:to>
      <xdr:col>31</xdr:col>
      <xdr:colOff>725965</xdr:colOff>
      <xdr:row>79</xdr:row>
      <xdr:rowOff>30951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ADA36B1-18E4-A9C5-23F7-E4774E38A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776260</xdr:colOff>
      <xdr:row>9</xdr:row>
      <xdr:rowOff>130119</xdr:rowOff>
    </xdr:from>
    <xdr:to>
      <xdr:col>28</xdr:col>
      <xdr:colOff>825965</xdr:colOff>
      <xdr:row>20</xdr:row>
      <xdr:rowOff>130860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622D834C-C642-874A-BB6E-6C972407F6AA}"/>
            </a:ext>
          </a:extLst>
        </xdr:cNvPr>
        <xdr:cNvGrpSpPr/>
      </xdr:nvGrpSpPr>
      <xdr:grpSpPr>
        <a:xfrm>
          <a:off x="22975860" y="2416119"/>
          <a:ext cx="4875705" cy="2794741"/>
          <a:chOff x="18846605" y="6604733"/>
          <a:chExt cx="4706375" cy="2794741"/>
        </a:xfrm>
      </xdr:grpSpPr>
      <xdr:grpSp>
        <xdr:nvGrpSpPr>
          <xdr:cNvPr id="39" name="グループ化 38">
            <a:extLst>
              <a:ext uri="{FF2B5EF4-FFF2-40B4-BE49-F238E27FC236}">
                <a16:creationId xmlns:a16="http://schemas.microsoft.com/office/drawing/2014/main" id="{A2858D94-18D2-F9A8-B81F-B2D4D61A76E2}"/>
              </a:ext>
            </a:extLst>
          </xdr:cNvPr>
          <xdr:cNvGrpSpPr/>
        </xdr:nvGrpSpPr>
        <xdr:grpSpPr>
          <a:xfrm>
            <a:off x="18890767" y="6604733"/>
            <a:ext cx="4662213" cy="507996"/>
            <a:chOff x="25887948" y="4318000"/>
            <a:chExt cx="4699891" cy="508000"/>
          </a:xfrm>
        </xdr:grpSpPr>
        <xdr:sp macro="" textlink="">
          <xdr:nvSpPr>
            <xdr:cNvPr id="52" name="テキスト ボックス 51">
              <a:extLst>
                <a:ext uri="{FF2B5EF4-FFF2-40B4-BE49-F238E27FC236}">
                  <a16:creationId xmlns:a16="http://schemas.microsoft.com/office/drawing/2014/main" id="{7FAE2395-20BF-62CE-0DA5-93DAF1C07528}"/>
                </a:ext>
              </a:extLst>
            </xdr:cNvPr>
            <xdr:cNvSpPr txBox="1"/>
          </xdr:nvSpPr>
          <xdr:spPr>
            <a:xfrm>
              <a:off x="26629003" y="4318000"/>
              <a:ext cx="3958836" cy="508000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 anchorCtr="0"/>
            <a:lstStyle/>
            <a:p>
              <a:r>
                <a:rPr kumimoji="1" lang="en-US" altLang="ja-JP" sz="2800" b="1">
                  <a:latin typeface="+mn-lt"/>
                </a:rPr>
                <a:t>Native+Unenc (Baseline)</a:t>
              </a:r>
              <a:endParaRPr kumimoji="1" lang="ja-JP" altLang="en-US" sz="2800" b="1">
                <a:latin typeface="+mn-lt"/>
              </a:endParaRPr>
            </a:p>
          </xdr:txBody>
        </xdr:sp>
        <xdr:cxnSp macro="">
          <xdr:nvCxnSpPr>
            <xdr:cNvPr id="53" name="直線コネクタ 52">
              <a:extLst>
                <a:ext uri="{FF2B5EF4-FFF2-40B4-BE49-F238E27FC236}">
                  <a16:creationId xmlns:a16="http://schemas.microsoft.com/office/drawing/2014/main" id="{71E7D668-894D-92A8-F3C4-969F4D76E5F2}"/>
                </a:ext>
              </a:extLst>
            </xdr:cNvPr>
            <xdr:cNvCxnSpPr/>
          </xdr:nvCxnSpPr>
          <xdr:spPr>
            <a:xfrm>
              <a:off x="25887948" y="4594281"/>
              <a:ext cx="643912" cy="0"/>
            </a:xfrm>
            <a:prstGeom prst="line">
              <a:avLst/>
            </a:prstGeom>
            <a:ln w="34925">
              <a:solidFill>
                <a:schemeClr val="accent4">
                  <a:lumMod val="60000"/>
                  <a:lumOff val="4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54" name="円/楕円 53">
              <a:extLst>
                <a:ext uri="{FF2B5EF4-FFF2-40B4-BE49-F238E27FC236}">
                  <a16:creationId xmlns:a16="http://schemas.microsoft.com/office/drawing/2014/main" id="{261B5480-167E-BA84-CB2E-62AD13A7A028}"/>
                </a:ext>
              </a:extLst>
            </xdr:cNvPr>
            <xdr:cNvSpPr/>
          </xdr:nvSpPr>
          <xdr:spPr>
            <a:xfrm>
              <a:off x="26128440" y="4521055"/>
              <a:ext cx="134453" cy="155465"/>
            </a:xfrm>
            <a:prstGeom prst="ellipse">
              <a:avLst/>
            </a:prstGeom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t" anchorCtr="0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40" name="グループ化 39">
            <a:extLst>
              <a:ext uri="{FF2B5EF4-FFF2-40B4-BE49-F238E27FC236}">
                <a16:creationId xmlns:a16="http://schemas.microsoft.com/office/drawing/2014/main" id="{C3B354F0-852B-38D9-211E-597D1BCC6A09}"/>
              </a:ext>
            </a:extLst>
          </xdr:cNvPr>
          <xdr:cNvGrpSpPr/>
        </xdr:nvGrpSpPr>
        <xdr:grpSpPr>
          <a:xfrm>
            <a:off x="18895895" y="7345660"/>
            <a:ext cx="2641875" cy="507997"/>
            <a:chOff x="25887948" y="4318000"/>
            <a:chExt cx="2663992" cy="508000"/>
          </a:xfrm>
        </xdr:grpSpPr>
        <xdr:sp macro="" textlink="">
          <xdr:nvSpPr>
            <xdr:cNvPr id="49" name="テキスト ボックス 48">
              <a:extLst>
                <a:ext uri="{FF2B5EF4-FFF2-40B4-BE49-F238E27FC236}">
                  <a16:creationId xmlns:a16="http://schemas.microsoft.com/office/drawing/2014/main" id="{DACA2E99-8DBF-6F4D-4692-2D1B1F1F938A}"/>
                </a:ext>
              </a:extLst>
            </xdr:cNvPr>
            <xdr:cNvSpPr txBox="1"/>
          </xdr:nvSpPr>
          <xdr:spPr>
            <a:xfrm>
              <a:off x="26629003" y="4318000"/>
              <a:ext cx="1922937" cy="508000"/>
            </a:xfrm>
            <a:prstGeom prst="rect">
              <a:avLst/>
            </a:prstGeom>
            <a:solidFill>
              <a:schemeClr val="accent4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 anchorCtr="0"/>
            <a:lstStyle/>
            <a:p>
              <a:r>
                <a:rPr kumimoji="1" lang="en-US" altLang="ja-JP" sz="2800" b="1">
                  <a:latin typeface="+mn-lt"/>
                </a:rPr>
                <a:t>Native+Enc </a:t>
              </a:r>
              <a:endParaRPr kumimoji="1" lang="ja-JP" altLang="en-US" sz="2800" b="1">
                <a:latin typeface="+mn-lt"/>
              </a:endParaRPr>
            </a:p>
          </xdr:txBody>
        </xdr:sp>
        <xdr:cxnSp macro="">
          <xdr:nvCxnSpPr>
            <xdr:cNvPr id="50" name="直線コネクタ 49">
              <a:extLst>
                <a:ext uri="{FF2B5EF4-FFF2-40B4-BE49-F238E27FC236}">
                  <a16:creationId xmlns:a16="http://schemas.microsoft.com/office/drawing/2014/main" id="{3801A890-2D6A-7C75-654C-EE9D15CEA8D8}"/>
                </a:ext>
              </a:extLst>
            </xdr:cNvPr>
            <xdr:cNvCxnSpPr/>
          </xdr:nvCxnSpPr>
          <xdr:spPr>
            <a:xfrm>
              <a:off x="25887948" y="4594281"/>
              <a:ext cx="643912" cy="0"/>
            </a:xfrm>
            <a:prstGeom prst="line">
              <a:avLst/>
            </a:prstGeom>
            <a:solidFill>
              <a:schemeClr val="accent4"/>
            </a:solidFill>
            <a:ln w="34925">
              <a:solidFill>
                <a:schemeClr val="accent4"/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51" name="円/楕円 50">
              <a:extLst>
                <a:ext uri="{FF2B5EF4-FFF2-40B4-BE49-F238E27FC236}">
                  <a16:creationId xmlns:a16="http://schemas.microsoft.com/office/drawing/2014/main" id="{89EEC0DA-0047-4F3A-B77A-12F621C0B86C}"/>
                </a:ext>
              </a:extLst>
            </xdr:cNvPr>
            <xdr:cNvSpPr/>
          </xdr:nvSpPr>
          <xdr:spPr>
            <a:xfrm>
              <a:off x="26136899" y="4521056"/>
              <a:ext cx="134453" cy="155465"/>
            </a:xfrm>
            <a:prstGeom prst="ellipse">
              <a:avLst/>
            </a:prstGeom>
            <a:solidFill>
              <a:schemeClr val="accent4"/>
            </a:solidFill>
            <a:ln>
              <a:solidFill>
                <a:schemeClr val="accent4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t" anchorCtr="0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41" name="グループ化 40">
            <a:extLst>
              <a:ext uri="{FF2B5EF4-FFF2-40B4-BE49-F238E27FC236}">
                <a16:creationId xmlns:a16="http://schemas.microsoft.com/office/drawing/2014/main" id="{B1CB9265-0E4E-92D3-7E61-C17E72BF39B6}"/>
              </a:ext>
            </a:extLst>
          </xdr:cNvPr>
          <xdr:cNvGrpSpPr/>
        </xdr:nvGrpSpPr>
        <xdr:grpSpPr>
          <a:xfrm>
            <a:off x="18898245" y="8133622"/>
            <a:ext cx="2641875" cy="507995"/>
            <a:chOff x="25887948" y="4318000"/>
            <a:chExt cx="2663992" cy="508000"/>
          </a:xfrm>
          <a:solidFill>
            <a:schemeClr val="accent2">
              <a:lumMod val="60000"/>
              <a:lumOff val="40000"/>
            </a:schemeClr>
          </a:solidFill>
        </xdr:grpSpPr>
        <xdr:sp macro="" textlink="">
          <xdr:nvSpPr>
            <xdr:cNvPr id="46" name="テキスト ボックス 45">
              <a:extLst>
                <a:ext uri="{FF2B5EF4-FFF2-40B4-BE49-F238E27FC236}">
                  <a16:creationId xmlns:a16="http://schemas.microsoft.com/office/drawing/2014/main" id="{7AE1A479-A331-5EF5-D396-F0C0500DD0B2}"/>
                </a:ext>
              </a:extLst>
            </xdr:cNvPr>
            <xdr:cNvSpPr txBox="1"/>
          </xdr:nvSpPr>
          <xdr:spPr>
            <a:xfrm>
              <a:off x="26629003" y="4318000"/>
              <a:ext cx="1922937" cy="508000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 anchorCtr="0"/>
            <a:lstStyle/>
            <a:p>
              <a:r>
                <a:rPr kumimoji="1" lang="en-US" altLang="ja-JP" sz="2800" b="1">
                  <a:latin typeface="+mn-lt"/>
                </a:rPr>
                <a:t>TEE+Unenc </a:t>
              </a:r>
              <a:endParaRPr kumimoji="1" lang="ja-JP" altLang="en-US" sz="2800" b="1">
                <a:latin typeface="+mn-lt"/>
              </a:endParaRPr>
            </a:p>
          </xdr:txBody>
        </xdr:sp>
        <xdr:cxnSp macro="">
          <xdr:nvCxnSpPr>
            <xdr:cNvPr id="47" name="直線コネクタ 46">
              <a:extLst>
                <a:ext uri="{FF2B5EF4-FFF2-40B4-BE49-F238E27FC236}">
                  <a16:creationId xmlns:a16="http://schemas.microsoft.com/office/drawing/2014/main" id="{8D4529F2-D823-9AD0-9DF9-439EF4C5F83E}"/>
                </a:ext>
              </a:extLst>
            </xdr:cNvPr>
            <xdr:cNvCxnSpPr/>
          </xdr:nvCxnSpPr>
          <xdr:spPr>
            <a:xfrm>
              <a:off x="25887948" y="4594281"/>
              <a:ext cx="643912" cy="0"/>
            </a:xfrm>
            <a:prstGeom prst="line">
              <a:avLst/>
            </a:prstGeom>
            <a:grpFill/>
            <a:ln w="34925">
              <a:solidFill>
                <a:schemeClr val="accent2">
                  <a:lumMod val="60000"/>
                  <a:lumOff val="4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48" name="円/楕円 47">
              <a:extLst>
                <a:ext uri="{FF2B5EF4-FFF2-40B4-BE49-F238E27FC236}">
                  <a16:creationId xmlns:a16="http://schemas.microsoft.com/office/drawing/2014/main" id="{FBBABE6B-6338-617E-5CF8-6EC2138DB663}"/>
                </a:ext>
              </a:extLst>
            </xdr:cNvPr>
            <xdr:cNvSpPr/>
          </xdr:nvSpPr>
          <xdr:spPr>
            <a:xfrm>
              <a:off x="26136899" y="4512588"/>
              <a:ext cx="134453" cy="155465"/>
            </a:xfrm>
            <a:prstGeom prst="ellipse">
              <a:avLst/>
            </a:prstGeom>
            <a:grpFill/>
            <a:ln>
              <a:solidFill>
                <a:schemeClr val="accent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t" anchorCtr="0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42" name="グループ化 41">
            <a:extLst>
              <a:ext uri="{FF2B5EF4-FFF2-40B4-BE49-F238E27FC236}">
                <a16:creationId xmlns:a16="http://schemas.microsoft.com/office/drawing/2014/main" id="{23297D10-1311-BBB2-4978-6BDDC64F2685}"/>
              </a:ext>
            </a:extLst>
          </xdr:cNvPr>
          <xdr:cNvGrpSpPr/>
        </xdr:nvGrpSpPr>
        <xdr:grpSpPr>
          <a:xfrm>
            <a:off x="18846605" y="8891478"/>
            <a:ext cx="3808895" cy="507996"/>
            <a:chOff x="25901800" y="4289778"/>
            <a:chExt cx="3839421" cy="508000"/>
          </a:xfrm>
          <a:solidFill>
            <a:schemeClr val="accent2"/>
          </a:solidFill>
        </xdr:grpSpPr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161C1955-1864-6B57-CD80-66B06B8BF887}"/>
                </a:ext>
              </a:extLst>
            </xdr:cNvPr>
            <xdr:cNvSpPr txBox="1"/>
          </xdr:nvSpPr>
          <xdr:spPr>
            <a:xfrm>
              <a:off x="26670561" y="4289778"/>
              <a:ext cx="3070660" cy="508000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 anchorCtr="0"/>
            <a:lstStyle/>
            <a:p>
              <a:r>
                <a:rPr kumimoji="1" lang="en-US" altLang="ja-JP" sz="2800" b="1">
                  <a:latin typeface="+mn-lt"/>
                </a:rPr>
                <a:t>TEE+Enc (Proposal) </a:t>
              </a:r>
              <a:endParaRPr kumimoji="1" lang="ja-JP" altLang="en-US" sz="2800" b="1">
                <a:latin typeface="+mn-lt"/>
              </a:endParaRPr>
            </a:p>
          </xdr:txBody>
        </xdr:sp>
        <xdr:cxnSp macro="">
          <xdr:nvCxnSpPr>
            <xdr:cNvPr id="44" name="直線コネクタ 43">
              <a:extLst>
                <a:ext uri="{FF2B5EF4-FFF2-40B4-BE49-F238E27FC236}">
                  <a16:creationId xmlns:a16="http://schemas.microsoft.com/office/drawing/2014/main" id="{744DAA81-B89F-3A06-B00E-43C474EBAA63}"/>
                </a:ext>
              </a:extLst>
            </xdr:cNvPr>
            <xdr:cNvCxnSpPr/>
          </xdr:nvCxnSpPr>
          <xdr:spPr>
            <a:xfrm>
              <a:off x="25901800" y="4551948"/>
              <a:ext cx="643912" cy="0"/>
            </a:xfrm>
            <a:prstGeom prst="line">
              <a:avLst/>
            </a:prstGeom>
            <a:grpFill/>
            <a:ln w="34925">
              <a:solidFill>
                <a:schemeClr val="accent2"/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45" name="円/楕円 44">
              <a:extLst>
                <a:ext uri="{FF2B5EF4-FFF2-40B4-BE49-F238E27FC236}">
                  <a16:creationId xmlns:a16="http://schemas.microsoft.com/office/drawing/2014/main" id="{32E7A6A2-3BD7-1BB6-49B6-685DFBC44811}"/>
                </a:ext>
              </a:extLst>
            </xdr:cNvPr>
            <xdr:cNvSpPr/>
          </xdr:nvSpPr>
          <xdr:spPr>
            <a:xfrm>
              <a:off x="26150751" y="4478723"/>
              <a:ext cx="134453" cy="155465"/>
            </a:xfrm>
            <a:prstGeom prst="ellipse">
              <a:avLst/>
            </a:prstGeom>
            <a:grpFill/>
            <a:ln>
              <a:solidFill>
                <a:schemeClr val="accent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t" anchorCtr="0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352084</xdr:colOff>
      <xdr:row>43</xdr:row>
      <xdr:rowOff>179903</xdr:rowOff>
    </xdr:from>
    <xdr:to>
      <xdr:col>31</xdr:col>
      <xdr:colOff>444671</xdr:colOff>
      <xdr:row>80</xdr:row>
      <xdr:rowOff>229064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BBE3886-EF70-C6E1-102B-0C5818E61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455912</xdr:colOff>
      <xdr:row>12</xdr:row>
      <xdr:rowOff>145377</xdr:rowOff>
    </xdr:from>
    <xdr:to>
      <xdr:col>33</xdr:col>
      <xdr:colOff>631687</xdr:colOff>
      <xdr:row>48</xdr:row>
      <xdr:rowOff>16537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E02638E-4ED8-E765-D369-8981F5DE5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450850</xdr:colOff>
      <xdr:row>20</xdr:row>
      <xdr:rowOff>114300</xdr:rowOff>
    </xdr:from>
    <xdr:to>
      <xdr:col>15</xdr:col>
      <xdr:colOff>228600</xdr:colOff>
      <xdr:row>39</xdr:row>
      <xdr:rowOff>190500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9E7D01A-51B9-4AA1-6CF5-55E32B173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8E9838-8140-3349-8E14-C8399E0E23CB}" autoFormatId="20" applyNumberFormats="0" applyBorderFormats="0" applyFontFormats="0" applyPatternFormats="0" applyAlignmentFormats="0" applyWidthHeightFormats="0">
  <queryTableRefresh nextId="17">
    <queryTableFields count="16">
      <queryTableField id="1" name="benchmark" tableColumnId="1"/>
      <queryTableField id="2" name="environment" tableColumnId="2"/>
      <queryTableField id="3" name="encryption" tableColumnId="3"/>
      <queryTableField id="4" name="processes" tableColumnId="4"/>
      <queryTableField id="5" name="run" tableColumnId="5"/>
      <queryTableField id="6" name="class" tableColumnId="6"/>
      <queryTableField id="7" name="size" tableColumnId="7"/>
      <queryTableField id="8" name="iterations" tableColumnId="8"/>
      <queryTableField id="9" name="time_seconds" tableColumnId="9"/>
      <queryTableField id="10" name="total_processes" tableColumnId="10"/>
      <queryTableField id="11" name="active_processes" tableColumnId="11"/>
      <queryTableField id="12" name="mops_total" tableColumnId="12"/>
      <queryTableField id="13" name="mops_per_process" tableColumnId="13"/>
      <queryTableField id="14" name="operation_type" tableColumnId="14"/>
      <queryTableField id="15" name="verification" tableColumnId="15"/>
      <queryTableField id="16" name="source_fil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447A1-9D36-E646-B885-C8280D6EC380}" name="native_bt_cg_ep_sp_extracted_results" displayName="native_bt_cg_ep_sp_extracted_results" ref="A1:P121" tableType="queryTable" totalsRowShown="0">
  <autoFilter ref="A1:P121" xr:uid="{0E8447A1-9D36-E646-B885-C8280D6EC380}">
    <filterColumn colId="0">
      <filters>
        <filter val="SP"/>
      </filters>
    </filterColumn>
    <filterColumn colId="4">
      <filters>
        <filter val="1"/>
      </filters>
    </filterColumn>
  </autoFilter>
  <tableColumns count="16">
    <tableColumn id="1" xr3:uid="{0020429D-BEA9-1D40-8A5A-B0257F11CE3D}" uniqueName="1" name="benchmark" queryTableFieldId="1" dataDxfId="7"/>
    <tableColumn id="2" xr3:uid="{89A85B60-6E84-4F4D-81D7-01F50FAD5F24}" uniqueName="2" name="environment" queryTableFieldId="2" dataDxfId="6"/>
    <tableColumn id="3" xr3:uid="{1E34C708-4F69-E74E-A0E7-6609FDBF3E47}" uniqueName="3" name="encryption" queryTableFieldId="3" dataDxfId="5"/>
    <tableColumn id="4" xr3:uid="{C8EB9F33-B685-4847-B16D-CC7264EC6F5E}" uniqueName="4" name="processes" queryTableFieldId="4"/>
    <tableColumn id="5" xr3:uid="{C6CEED49-53CF-BA49-A7A8-6707B3C32E85}" uniqueName="5" name="run" queryTableFieldId="5"/>
    <tableColumn id="6" xr3:uid="{BCD6E636-8697-5D48-8B67-16FDEC1B111B}" uniqueName="6" name="class" queryTableFieldId="6" dataDxfId="4"/>
    <tableColumn id="7" xr3:uid="{BB9C67DD-F67A-F544-970D-62127C021707}" uniqueName="7" name="size" queryTableFieldId="7" dataDxfId="3"/>
    <tableColumn id="8" xr3:uid="{8738D18D-31E5-D145-88CE-2CA71A14E009}" uniqueName="8" name="iterations" queryTableFieldId="8"/>
    <tableColumn id="9" xr3:uid="{06F85A26-8775-FA45-B195-7110FD47F0B6}" uniqueName="9" name="time_seconds" queryTableFieldId="9"/>
    <tableColumn id="10" xr3:uid="{D8379AF4-378C-2643-BA46-E0D0E4244182}" uniqueName="10" name="total_processes" queryTableFieldId="10"/>
    <tableColumn id="11" xr3:uid="{EA2621A5-4FB5-8846-9C8D-AE7D82C23B0F}" uniqueName="11" name="active_processes" queryTableFieldId="11"/>
    <tableColumn id="12" xr3:uid="{CC51A665-EDD4-EB43-AEEB-CC22DA355DDA}" uniqueName="12" name="mops_total" queryTableFieldId="12"/>
    <tableColumn id="13" xr3:uid="{5634BF20-2558-E54D-BD91-EEA635FC3864}" uniqueName="13" name="mops_per_process" queryTableFieldId="13"/>
    <tableColumn id="14" xr3:uid="{CBEF5665-7A26-E345-85FE-222D79A34BD7}" uniqueName="14" name="operation_type" queryTableFieldId="14" dataDxfId="2"/>
    <tableColumn id="15" xr3:uid="{9B450979-9658-3746-B36A-13AF086A380E}" uniqueName="15" name="verification" queryTableFieldId="15" dataDxfId="1"/>
    <tableColumn id="16" xr3:uid="{A6944324-35E7-C240-983C-B9795E7A4293}" uniqueName="16" name="source_fil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17D1-A542-8241-AD58-531253AA4DDC}">
  <dimension ref="A1:P31"/>
  <sheetViews>
    <sheetView topLeftCell="A35" zoomScale="50" workbookViewId="0">
      <selection activeCell="L59" sqref="L59"/>
    </sheetView>
  </sheetViews>
  <sheetFormatPr baseColWidth="10" defaultRowHeight="20"/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spans="1:16">
      <c r="A2" s="6" t="s">
        <v>16</v>
      </c>
      <c r="B2" s="3" t="s">
        <v>17</v>
      </c>
      <c r="C2" s="3" t="s">
        <v>18</v>
      </c>
      <c r="D2" s="3">
        <v>1</v>
      </c>
      <c r="E2" s="3">
        <v>1</v>
      </c>
      <c r="F2" s="3" t="s">
        <v>19</v>
      </c>
      <c r="G2" s="3" t="s">
        <v>20</v>
      </c>
      <c r="H2" s="3">
        <v>200</v>
      </c>
      <c r="I2" s="3">
        <v>637.70000000000005</v>
      </c>
      <c r="J2" s="3">
        <v>1</v>
      </c>
      <c r="K2" s="3">
        <v>1</v>
      </c>
      <c r="L2" s="3">
        <v>4494.71</v>
      </c>
      <c r="M2" s="3">
        <v>4494.71</v>
      </c>
      <c r="N2" s="3" t="s">
        <v>21</v>
      </c>
      <c r="O2" s="3" t="s">
        <v>22</v>
      </c>
      <c r="P2" s="7" t="s">
        <v>23</v>
      </c>
    </row>
    <row r="3" spans="1:16">
      <c r="A3" s="8" t="s">
        <v>16</v>
      </c>
      <c r="B3" s="4" t="s">
        <v>17</v>
      </c>
      <c r="C3" s="4" t="s">
        <v>18</v>
      </c>
      <c r="D3" s="4">
        <v>4</v>
      </c>
      <c r="E3" s="4">
        <v>1</v>
      </c>
      <c r="F3" s="4" t="s">
        <v>19</v>
      </c>
      <c r="G3" s="4" t="s">
        <v>20</v>
      </c>
      <c r="H3" s="4">
        <v>200</v>
      </c>
      <c r="I3" s="4">
        <v>165.36</v>
      </c>
      <c r="J3" s="4">
        <v>4</v>
      </c>
      <c r="K3" s="4">
        <v>4</v>
      </c>
      <c r="L3" s="4">
        <v>17333.650000000001</v>
      </c>
      <c r="M3" s="4">
        <v>4333.41</v>
      </c>
      <c r="N3" s="4" t="s">
        <v>21</v>
      </c>
      <c r="O3" s="4" t="s">
        <v>22</v>
      </c>
      <c r="P3" s="9" t="s">
        <v>24</v>
      </c>
    </row>
    <row r="4" spans="1:16">
      <c r="A4" s="6" t="s">
        <v>16</v>
      </c>
      <c r="B4" s="3" t="s">
        <v>17</v>
      </c>
      <c r="C4" s="3" t="s">
        <v>18</v>
      </c>
      <c r="D4" s="3">
        <v>16</v>
      </c>
      <c r="E4" s="3">
        <v>1</v>
      </c>
      <c r="F4" s="3" t="s">
        <v>19</v>
      </c>
      <c r="G4" s="3" t="s">
        <v>20</v>
      </c>
      <c r="H4" s="3">
        <v>200</v>
      </c>
      <c r="I4" s="3">
        <v>74.010000000000005</v>
      </c>
      <c r="J4" s="3">
        <v>16</v>
      </c>
      <c r="K4" s="3">
        <v>16</v>
      </c>
      <c r="L4" s="3">
        <v>38729.1</v>
      </c>
      <c r="M4" s="3">
        <v>2420.5700000000002</v>
      </c>
      <c r="N4" s="3" t="s">
        <v>21</v>
      </c>
      <c r="O4" s="3" t="s">
        <v>22</v>
      </c>
      <c r="P4" s="7" t="s">
        <v>25</v>
      </c>
    </row>
    <row r="5" spans="1:16">
      <c r="A5" s="8" t="s">
        <v>16</v>
      </c>
      <c r="B5" s="4" t="s">
        <v>17</v>
      </c>
      <c r="C5" s="4" t="s">
        <v>26</v>
      </c>
      <c r="D5" s="4">
        <v>1</v>
      </c>
      <c r="E5" s="4">
        <v>1</v>
      </c>
      <c r="F5" s="4" t="s">
        <v>19</v>
      </c>
      <c r="G5" s="4" t="s">
        <v>20</v>
      </c>
      <c r="H5" s="4">
        <v>200</v>
      </c>
      <c r="I5" s="4">
        <v>637.53</v>
      </c>
      <c r="J5" s="4">
        <v>1</v>
      </c>
      <c r="K5" s="4">
        <v>1</v>
      </c>
      <c r="L5" s="4">
        <v>4495.8900000000003</v>
      </c>
      <c r="M5" s="4">
        <v>4495.8900000000003</v>
      </c>
      <c r="N5" s="4" t="s">
        <v>21</v>
      </c>
      <c r="O5" s="4" t="s">
        <v>22</v>
      </c>
      <c r="P5" s="9" t="s">
        <v>27</v>
      </c>
    </row>
    <row r="6" spans="1:16">
      <c r="A6" s="6" t="s">
        <v>16</v>
      </c>
      <c r="B6" s="3" t="s">
        <v>17</v>
      </c>
      <c r="C6" s="3" t="s">
        <v>26</v>
      </c>
      <c r="D6" s="3">
        <v>4</v>
      </c>
      <c r="E6" s="3">
        <v>1</v>
      </c>
      <c r="F6" s="3" t="s">
        <v>19</v>
      </c>
      <c r="G6" s="3" t="s">
        <v>20</v>
      </c>
      <c r="H6" s="3">
        <v>200</v>
      </c>
      <c r="I6" s="3">
        <v>163.68</v>
      </c>
      <c r="J6" s="3">
        <v>4</v>
      </c>
      <c r="K6" s="3">
        <v>4</v>
      </c>
      <c r="L6" s="3">
        <v>17511.150000000001</v>
      </c>
      <c r="M6" s="3">
        <v>4377.79</v>
      </c>
      <c r="N6" s="3" t="s">
        <v>21</v>
      </c>
      <c r="O6" s="3" t="s">
        <v>22</v>
      </c>
      <c r="P6" s="7" t="s">
        <v>28</v>
      </c>
    </row>
    <row r="7" spans="1:16">
      <c r="A7" s="8" t="s">
        <v>16</v>
      </c>
      <c r="B7" s="4" t="s">
        <v>17</v>
      </c>
      <c r="C7" s="4" t="s">
        <v>26</v>
      </c>
      <c r="D7" s="4">
        <v>16</v>
      </c>
      <c r="E7" s="4">
        <v>1</v>
      </c>
      <c r="F7" s="4" t="s">
        <v>19</v>
      </c>
      <c r="G7" s="4" t="s">
        <v>20</v>
      </c>
      <c r="H7" s="4">
        <v>200</v>
      </c>
      <c r="I7" s="4">
        <v>72</v>
      </c>
      <c r="J7" s="4">
        <v>16</v>
      </c>
      <c r="K7" s="4">
        <v>16</v>
      </c>
      <c r="L7" s="4">
        <v>39810.89</v>
      </c>
      <c r="M7" s="4">
        <v>2488.1799999999998</v>
      </c>
      <c r="N7" s="4" t="s">
        <v>21</v>
      </c>
      <c r="O7" s="4" t="s">
        <v>22</v>
      </c>
      <c r="P7" s="9" t="s">
        <v>29</v>
      </c>
    </row>
    <row r="8" spans="1:16">
      <c r="A8" s="6" t="s">
        <v>16</v>
      </c>
      <c r="B8" s="3" t="s">
        <v>30</v>
      </c>
      <c r="C8" s="3" t="s">
        <v>18</v>
      </c>
      <c r="D8" s="3">
        <v>1</v>
      </c>
      <c r="E8" s="3">
        <v>1</v>
      </c>
      <c r="F8" s="3" t="s">
        <v>19</v>
      </c>
      <c r="G8" s="3" t="s">
        <v>20</v>
      </c>
      <c r="H8" s="3">
        <v>200</v>
      </c>
      <c r="I8" s="3">
        <v>853.55</v>
      </c>
      <c r="J8" s="3">
        <v>1</v>
      </c>
      <c r="K8" s="3">
        <v>1</v>
      </c>
      <c r="L8" s="3">
        <v>3358.07</v>
      </c>
      <c r="M8" s="3">
        <v>3358.07</v>
      </c>
      <c r="N8" s="3" t="s">
        <v>21</v>
      </c>
      <c r="O8" s="3" t="s">
        <v>22</v>
      </c>
      <c r="P8" s="7" t="s">
        <v>31</v>
      </c>
    </row>
    <row r="9" spans="1:16">
      <c r="A9" s="8" t="s">
        <v>16</v>
      </c>
      <c r="B9" s="4" t="s">
        <v>30</v>
      </c>
      <c r="C9" s="4" t="s">
        <v>18</v>
      </c>
      <c r="D9" s="4">
        <v>4</v>
      </c>
      <c r="E9" s="4">
        <v>1</v>
      </c>
      <c r="F9" s="4" t="s">
        <v>19</v>
      </c>
      <c r="G9" s="4" t="s">
        <v>20</v>
      </c>
      <c r="H9" s="4">
        <v>200</v>
      </c>
      <c r="I9" s="4">
        <v>229.03</v>
      </c>
      <c r="J9" s="4">
        <v>4</v>
      </c>
      <c r="K9" s="4">
        <v>4</v>
      </c>
      <c r="L9" s="4">
        <v>12514.79</v>
      </c>
      <c r="M9" s="4">
        <v>3128.7</v>
      </c>
      <c r="N9" s="4" t="s">
        <v>21</v>
      </c>
      <c r="O9" s="4" t="s">
        <v>22</v>
      </c>
      <c r="P9" s="9" t="s">
        <v>32</v>
      </c>
    </row>
    <row r="10" spans="1:16">
      <c r="A10" s="6" t="s">
        <v>16</v>
      </c>
      <c r="B10" s="3" t="s">
        <v>30</v>
      </c>
      <c r="C10" s="3" t="s">
        <v>18</v>
      </c>
      <c r="D10" s="3">
        <v>16</v>
      </c>
      <c r="E10" s="3">
        <v>1</v>
      </c>
      <c r="F10" s="3" t="s">
        <v>19</v>
      </c>
      <c r="G10" s="3" t="s">
        <v>20</v>
      </c>
      <c r="H10" s="3">
        <v>200</v>
      </c>
      <c r="I10" s="3">
        <v>93.4</v>
      </c>
      <c r="J10" s="3">
        <v>16</v>
      </c>
      <c r="K10" s="3">
        <v>16</v>
      </c>
      <c r="L10" s="3">
        <v>30687.3</v>
      </c>
      <c r="M10" s="3">
        <v>1917.96</v>
      </c>
      <c r="N10" s="3" t="s">
        <v>21</v>
      </c>
      <c r="O10" s="3" t="s">
        <v>22</v>
      </c>
      <c r="P10" s="7" t="s">
        <v>33</v>
      </c>
    </row>
    <row r="11" spans="1:16">
      <c r="A11" s="8" t="s">
        <v>16</v>
      </c>
      <c r="B11" s="4" t="s">
        <v>30</v>
      </c>
      <c r="C11" s="4" t="s">
        <v>26</v>
      </c>
      <c r="D11" s="4">
        <v>1</v>
      </c>
      <c r="E11" s="4">
        <v>1</v>
      </c>
      <c r="F11" s="4" t="s">
        <v>19</v>
      </c>
      <c r="G11" s="4" t="s">
        <v>20</v>
      </c>
      <c r="H11" s="4">
        <v>200</v>
      </c>
      <c r="I11" s="4">
        <v>856.4</v>
      </c>
      <c r="J11" s="4">
        <v>1</v>
      </c>
      <c r="K11" s="4">
        <v>1</v>
      </c>
      <c r="L11" s="4">
        <v>3346.9</v>
      </c>
      <c r="M11" s="4">
        <v>3346.9</v>
      </c>
      <c r="N11" s="4" t="s">
        <v>21</v>
      </c>
      <c r="O11" s="4" t="s">
        <v>22</v>
      </c>
      <c r="P11" s="9" t="s">
        <v>34</v>
      </c>
    </row>
    <row r="12" spans="1:16">
      <c r="A12" s="6" t="s">
        <v>16</v>
      </c>
      <c r="B12" s="3" t="s">
        <v>30</v>
      </c>
      <c r="C12" s="3" t="s">
        <v>26</v>
      </c>
      <c r="D12" s="3">
        <v>4</v>
      </c>
      <c r="E12" s="3">
        <v>1</v>
      </c>
      <c r="F12" s="3" t="s">
        <v>19</v>
      </c>
      <c r="G12" s="3" t="s">
        <v>20</v>
      </c>
      <c r="H12" s="3">
        <v>200</v>
      </c>
      <c r="I12" s="3">
        <v>220.22</v>
      </c>
      <c r="J12" s="3">
        <v>4</v>
      </c>
      <c r="K12" s="3">
        <v>4</v>
      </c>
      <c r="L12" s="3">
        <v>13015.81</v>
      </c>
      <c r="M12" s="3">
        <v>3253.95</v>
      </c>
      <c r="N12" s="3" t="s">
        <v>21</v>
      </c>
      <c r="O12" s="3" t="s">
        <v>22</v>
      </c>
      <c r="P12" s="7" t="s">
        <v>35</v>
      </c>
    </row>
    <row r="13" spans="1:16">
      <c r="A13" s="8" t="s">
        <v>16</v>
      </c>
      <c r="B13" s="4" t="s">
        <v>30</v>
      </c>
      <c r="C13" s="4" t="s">
        <v>26</v>
      </c>
      <c r="D13" s="4">
        <v>16</v>
      </c>
      <c r="E13" s="4">
        <v>1</v>
      </c>
      <c r="F13" s="4" t="s">
        <v>19</v>
      </c>
      <c r="G13" s="4" t="s">
        <v>20</v>
      </c>
      <c r="H13" s="4">
        <v>200</v>
      </c>
      <c r="I13" s="4">
        <v>90.74</v>
      </c>
      <c r="J13" s="4">
        <v>16</v>
      </c>
      <c r="K13" s="4">
        <v>16</v>
      </c>
      <c r="L13" s="4">
        <v>31589.119999999999</v>
      </c>
      <c r="M13" s="4">
        <v>1974.32</v>
      </c>
      <c r="N13" s="4" t="s">
        <v>21</v>
      </c>
      <c r="O13" s="4" t="s">
        <v>22</v>
      </c>
      <c r="P13" s="9" t="s">
        <v>36</v>
      </c>
    </row>
    <row r="22" spans="1:16">
      <c r="A22" s="4" t="s">
        <v>163</v>
      </c>
      <c r="B22" s="4" t="s">
        <v>26</v>
      </c>
      <c r="C22" s="4">
        <v>1</v>
      </c>
      <c r="D22" s="4">
        <f>4495.89/1000</f>
        <v>4.4958900000000002</v>
      </c>
      <c r="E22" s="3" t="s">
        <v>154</v>
      </c>
      <c r="F22" s="3" t="s">
        <v>18</v>
      </c>
      <c r="G22" s="3">
        <v>1</v>
      </c>
      <c r="H22" s="3">
        <f>4494.71/1000</f>
        <v>4.4947100000000004</v>
      </c>
      <c r="I22" s="4" t="s">
        <v>153</v>
      </c>
      <c r="J22" s="4" t="s">
        <v>26</v>
      </c>
      <c r="K22" s="4">
        <v>1</v>
      </c>
      <c r="L22" s="4">
        <f>3346.9/1000</f>
        <v>3.3469000000000002</v>
      </c>
      <c r="M22" s="3" t="s">
        <v>164</v>
      </c>
      <c r="N22" s="3" t="s">
        <v>18</v>
      </c>
      <c r="O22" s="3">
        <v>1</v>
      </c>
      <c r="P22" s="3">
        <f>3358.07/1000</f>
        <v>3.3580700000000001</v>
      </c>
    </row>
    <row r="23" spans="1:16">
      <c r="A23" s="4" t="s">
        <v>155</v>
      </c>
      <c r="B23" s="3" t="s">
        <v>26</v>
      </c>
      <c r="C23" s="3">
        <v>4</v>
      </c>
      <c r="D23" s="3">
        <f>17511.15/1000</f>
        <v>17.511150000000001</v>
      </c>
      <c r="E23" s="3" t="s">
        <v>154</v>
      </c>
      <c r="F23" s="4" t="s">
        <v>18</v>
      </c>
      <c r="G23" s="4">
        <v>4</v>
      </c>
      <c r="H23" s="4">
        <f>17333.65/1000</f>
        <v>17.333650000000002</v>
      </c>
      <c r="I23" s="4" t="s">
        <v>153</v>
      </c>
      <c r="J23" s="3" t="s">
        <v>26</v>
      </c>
      <c r="K23" s="3">
        <v>4</v>
      </c>
      <c r="L23" s="3">
        <f>13015.81/1000</f>
        <v>13.01581</v>
      </c>
      <c r="M23" s="3" t="s">
        <v>152</v>
      </c>
      <c r="N23" s="4" t="s">
        <v>18</v>
      </c>
      <c r="O23" s="4">
        <v>4</v>
      </c>
      <c r="P23" s="4">
        <f>12514.79/1000</f>
        <v>12.514790000000001</v>
      </c>
    </row>
    <row r="24" spans="1:16">
      <c r="A24" s="4" t="s">
        <v>155</v>
      </c>
      <c r="B24" s="4" t="s">
        <v>26</v>
      </c>
      <c r="C24" s="4">
        <v>16</v>
      </c>
      <c r="D24" s="4">
        <f>39810.89/1000</f>
        <v>39.810890000000001</v>
      </c>
      <c r="E24" s="3" t="s">
        <v>154</v>
      </c>
      <c r="F24" s="3" t="s">
        <v>18</v>
      </c>
      <c r="G24" s="3">
        <v>16</v>
      </c>
      <c r="H24" s="3">
        <f>38729.1/1000</f>
        <v>38.729099999999995</v>
      </c>
      <c r="I24" s="4" t="s">
        <v>153</v>
      </c>
      <c r="J24" s="4" t="s">
        <v>26</v>
      </c>
      <c r="K24" s="4">
        <v>16</v>
      </c>
      <c r="L24" s="4">
        <f>31589.12/1000</f>
        <v>31.589119999999998</v>
      </c>
      <c r="M24" s="3" t="s">
        <v>152</v>
      </c>
      <c r="N24" s="3" t="s">
        <v>18</v>
      </c>
      <c r="O24" s="3">
        <v>16</v>
      </c>
      <c r="P24" s="3">
        <f>30687.3/1000</f>
        <v>30.6873</v>
      </c>
    </row>
    <row r="25" spans="1:16">
      <c r="D25">
        <f>D24/D22</f>
        <v>8.8549519672411918</v>
      </c>
      <c r="H25">
        <f>H24/H22</f>
        <v>8.6165959539102612</v>
      </c>
      <c r="L25">
        <f>L24/L22</f>
        <v>9.4383220293405827</v>
      </c>
      <c r="P25">
        <f>P24/P22</f>
        <v>9.1383741256138205</v>
      </c>
    </row>
    <row r="27" spans="1:16">
      <c r="L27">
        <f>L23/L22</f>
        <v>3.8889151154799961</v>
      </c>
    </row>
    <row r="28" spans="1:16">
      <c r="L28">
        <f>L24/L23</f>
        <v>2.4269807257481477</v>
      </c>
    </row>
    <row r="29" spans="1:16">
      <c r="A29" t="s">
        <v>159</v>
      </c>
      <c r="B29" t="s">
        <v>26</v>
      </c>
      <c r="C29">
        <v>1</v>
      </c>
      <c r="D29">
        <f>D22/P22</f>
        <v>1.3388315312069134</v>
      </c>
      <c r="E29" t="s">
        <v>160</v>
      </c>
      <c r="F29" t="s">
        <v>18</v>
      </c>
      <c r="G29">
        <v>1</v>
      </c>
      <c r="H29">
        <f>H22/P22</f>
        <v>1.3384801388893026</v>
      </c>
      <c r="I29" t="s">
        <v>161</v>
      </c>
      <c r="J29" t="s">
        <v>26</v>
      </c>
      <c r="K29">
        <v>1</v>
      </c>
      <c r="L29">
        <f>L22/P22</f>
        <v>0.99667368458668226</v>
      </c>
      <c r="M29" t="s">
        <v>162</v>
      </c>
      <c r="N29" t="s">
        <v>18</v>
      </c>
      <c r="O29">
        <v>1</v>
      </c>
      <c r="P29">
        <f>P22/P22</f>
        <v>1</v>
      </c>
    </row>
    <row r="30" spans="1:16">
      <c r="A30" t="s">
        <v>159</v>
      </c>
      <c r="B30" t="s">
        <v>26</v>
      </c>
      <c r="C30">
        <v>4</v>
      </c>
      <c r="D30">
        <f>D23/P22</f>
        <v>5.2146471038423856</v>
      </c>
      <c r="E30" t="s">
        <v>160</v>
      </c>
      <c r="F30" t="s">
        <v>18</v>
      </c>
      <c r="G30">
        <v>4</v>
      </c>
      <c r="H30">
        <f>H23/P22</f>
        <v>5.1617893611509</v>
      </c>
      <c r="I30" t="s">
        <v>161</v>
      </c>
      <c r="J30" t="s">
        <v>26</v>
      </c>
      <c r="K30">
        <v>4</v>
      </c>
      <c r="L30">
        <f>L23/P22</f>
        <v>3.8759793571902907</v>
      </c>
      <c r="M30" t="s">
        <v>162</v>
      </c>
      <c r="N30" t="s">
        <v>18</v>
      </c>
      <c r="O30">
        <v>4</v>
      </c>
      <c r="P30">
        <f>P23/P22</f>
        <v>3.7267805614534542</v>
      </c>
    </row>
    <row r="31" spans="1:16">
      <c r="A31" t="s">
        <v>159</v>
      </c>
      <c r="B31" t="s">
        <v>26</v>
      </c>
      <c r="C31">
        <v>16</v>
      </c>
      <c r="D31">
        <f>D24/P22</f>
        <v>11.855288901065196</v>
      </c>
      <c r="E31" t="s">
        <v>160</v>
      </c>
      <c r="F31" t="s">
        <v>18</v>
      </c>
      <c r="G31">
        <v>16</v>
      </c>
      <c r="H31">
        <f>H24/P22</f>
        <v>11.533142549142809</v>
      </c>
      <c r="I31" t="s">
        <v>161</v>
      </c>
      <c r="J31" t="s">
        <v>26</v>
      </c>
      <c r="K31">
        <v>16</v>
      </c>
      <c r="L31">
        <f>L24/P22</f>
        <v>9.4069271932985306</v>
      </c>
      <c r="M31" t="s">
        <v>162</v>
      </c>
      <c r="N31" t="s">
        <v>18</v>
      </c>
      <c r="O31">
        <v>16</v>
      </c>
      <c r="P31">
        <f>P24/P22</f>
        <v>9.1383741256138205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0989-BE0A-C04C-AD97-E4555100D427}">
  <dimension ref="A1:P40"/>
  <sheetViews>
    <sheetView topLeftCell="A33" zoomScale="58" workbookViewId="0">
      <selection activeCell="N48" sqref="N48"/>
    </sheetView>
  </sheetViews>
  <sheetFormatPr baseColWidth="10" defaultRowHeight="20"/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spans="1:16">
      <c r="A2" s="6" t="s">
        <v>37</v>
      </c>
      <c r="B2" s="3" t="s">
        <v>17</v>
      </c>
      <c r="C2" s="3" t="s">
        <v>18</v>
      </c>
      <c r="D2" s="3">
        <v>1</v>
      </c>
      <c r="E2" s="3">
        <v>1</v>
      </c>
      <c r="F2" s="3" t="s">
        <v>19</v>
      </c>
      <c r="G2" s="3" t="s">
        <v>38</v>
      </c>
      <c r="H2" s="3">
        <v>75</v>
      </c>
      <c r="I2" s="3">
        <v>122.81</v>
      </c>
      <c r="J2" s="3">
        <v>1</v>
      </c>
      <c r="K2" s="3">
        <v>1</v>
      </c>
      <c r="L2" s="3">
        <v>1167.25</v>
      </c>
      <c r="M2" s="3">
        <v>1167.25</v>
      </c>
      <c r="N2" s="3" t="s">
        <v>21</v>
      </c>
      <c r="O2" s="3" t="s">
        <v>22</v>
      </c>
      <c r="P2" s="7" t="s">
        <v>39</v>
      </c>
    </row>
    <row r="3" spans="1:16">
      <c r="A3" s="8" t="s">
        <v>37</v>
      </c>
      <c r="B3" s="4" t="s">
        <v>17</v>
      </c>
      <c r="C3" s="4" t="s">
        <v>18</v>
      </c>
      <c r="D3" s="4">
        <v>2</v>
      </c>
      <c r="E3" s="4">
        <v>1</v>
      </c>
      <c r="F3" s="4" t="s">
        <v>19</v>
      </c>
      <c r="G3" s="4" t="s">
        <v>38</v>
      </c>
      <c r="H3" s="4">
        <v>75</v>
      </c>
      <c r="I3" s="4">
        <v>47.65</v>
      </c>
      <c r="J3" s="4">
        <v>2</v>
      </c>
      <c r="K3" s="4">
        <v>2</v>
      </c>
      <c r="L3" s="4">
        <v>3008.37</v>
      </c>
      <c r="M3" s="4">
        <v>1504.18</v>
      </c>
      <c r="N3" s="4" t="s">
        <v>21</v>
      </c>
      <c r="O3" s="4" t="s">
        <v>22</v>
      </c>
      <c r="P3" s="9" t="s">
        <v>40</v>
      </c>
    </row>
    <row r="4" spans="1:16">
      <c r="A4" s="6" t="s">
        <v>37</v>
      </c>
      <c r="B4" s="3" t="s">
        <v>17</v>
      </c>
      <c r="C4" s="3" t="s">
        <v>18</v>
      </c>
      <c r="D4" s="3">
        <v>4</v>
      </c>
      <c r="E4" s="3">
        <v>1</v>
      </c>
      <c r="F4" s="3" t="s">
        <v>19</v>
      </c>
      <c r="G4" s="3" t="s">
        <v>38</v>
      </c>
      <c r="H4" s="3">
        <v>75</v>
      </c>
      <c r="I4" s="3">
        <v>27.15</v>
      </c>
      <c r="J4" s="3">
        <v>4</v>
      </c>
      <c r="K4" s="3">
        <v>4</v>
      </c>
      <c r="L4" s="3">
        <v>5279.09</v>
      </c>
      <c r="M4" s="3">
        <v>1319.77</v>
      </c>
      <c r="N4" s="3" t="s">
        <v>21</v>
      </c>
      <c r="O4" s="3" t="s">
        <v>22</v>
      </c>
      <c r="P4" s="7" t="s">
        <v>41</v>
      </c>
    </row>
    <row r="5" spans="1:16">
      <c r="A5" s="8" t="s">
        <v>37</v>
      </c>
      <c r="B5" s="4" t="s">
        <v>17</v>
      </c>
      <c r="C5" s="4" t="s">
        <v>18</v>
      </c>
      <c r="D5" s="4">
        <v>8</v>
      </c>
      <c r="E5" s="4">
        <v>1</v>
      </c>
      <c r="F5" s="4" t="s">
        <v>19</v>
      </c>
      <c r="G5" s="4" t="s">
        <v>38</v>
      </c>
      <c r="H5" s="4">
        <v>75</v>
      </c>
      <c r="I5" s="4">
        <v>42.3</v>
      </c>
      <c r="J5" s="4">
        <v>8</v>
      </c>
      <c r="K5" s="4">
        <v>8</v>
      </c>
      <c r="L5" s="4">
        <v>3388.63</v>
      </c>
      <c r="M5" s="4">
        <v>423.58</v>
      </c>
      <c r="N5" s="4" t="s">
        <v>21</v>
      </c>
      <c r="O5" s="4" t="s">
        <v>22</v>
      </c>
      <c r="P5" s="9" t="s">
        <v>42</v>
      </c>
    </row>
    <row r="6" spans="1:16">
      <c r="A6" s="6" t="s">
        <v>37</v>
      </c>
      <c r="B6" s="3" t="s">
        <v>17</v>
      </c>
      <c r="C6" s="3" t="s">
        <v>26</v>
      </c>
      <c r="D6" s="3">
        <v>1</v>
      </c>
      <c r="E6" s="3">
        <v>1</v>
      </c>
      <c r="F6" s="3" t="s">
        <v>19</v>
      </c>
      <c r="G6" s="3" t="s">
        <v>38</v>
      </c>
      <c r="H6" s="3">
        <v>75</v>
      </c>
      <c r="I6" s="3">
        <v>121.09</v>
      </c>
      <c r="J6" s="3">
        <v>1</v>
      </c>
      <c r="K6" s="3">
        <v>1</v>
      </c>
      <c r="L6" s="3">
        <v>1183.81</v>
      </c>
      <c r="M6" s="3">
        <v>1183.81</v>
      </c>
      <c r="N6" s="3" t="s">
        <v>21</v>
      </c>
      <c r="O6" s="3" t="s">
        <v>22</v>
      </c>
      <c r="P6" s="7" t="s">
        <v>43</v>
      </c>
    </row>
    <row r="7" spans="1:16">
      <c r="A7" s="8" t="s">
        <v>37</v>
      </c>
      <c r="B7" s="4" t="s">
        <v>17</v>
      </c>
      <c r="C7" s="4" t="s">
        <v>26</v>
      </c>
      <c r="D7" s="4">
        <v>2</v>
      </c>
      <c r="E7" s="4">
        <v>1</v>
      </c>
      <c r="F7" s="4" t="s">
        <v>19</v>
      </c>
      <c r="G7" s="4" t="s">
        <v>38</v>
      </c>
      <c r="H7" s="4">
        <v>75</v>
      </c>
      <c r="I7" s="4">
        <v>46.35</v>
      </c>
      <c r="J7" s="4">
        <v>2</v>
      </c>
      <c r="K7" s="4">
        <v>2</v>
      </c>
      <c r="L7" s="4">
        <v>3092.68</v>
      </c>
      <c r="M7" s="4">
        <v>1546.34</v>
      </c>
      <c r="N7" s="4" t="s">
        <v>21</v>
      </c>
      <c r="O7" s="4" t="s">
        <v>22</v>
      </c>
      <c r="P7" s="9" t="s">
        <v>44</v>
      </c>
    </row>
    <row r="8" spans="1:16">
      <c r="A8" s="6" t="s">
        <v>37</v>
      </c>
      <c r="B8" s="3" t="s">
        <v>17</v>
      </c>
      <c r="C8" s="3" t="s">
        <v>26</v>
      </c>
      <c r="D8" s="3">
        <v>4</v>
      </c>
      <c r="E8" s="3">
        <v>1</v>
      </c>
      <c r="F8" s="3" t="s">
        <v>19</v>
      </c>
      <c r="G8" s="3" t="s">
        <v>38</v>
      </c>
      <c r="H8" s="3">
        <v>75</v>
      </c>
      <c r="I8" s="3">
        <v>26.87</v>
      </c>
      <c r="J8" s="3">
        <v>4</v>
      </c>
      <c r="K8" s="3">
        <v>4</v>
      </c>
      <c r="L8" s="3">
        <v>5335.74</v>
      </c>
      <c r="M8" s="3">
        <v>1333.94</v>
      </c>
      <c r="N8" s="3" t="s">
        <v>21</v>
      </c>
      <c r="O8" s="3" t="s">
        <v>22</v>
      </c>
      <c r="P8" s="7" t="s">
        <v>45</v>
      </c>
    </row>
    <row r="9" spans="1:16">
      <c r="A9" s="8" t="s">
        <v>37</v>
      </c>
      <c r="B9" s="4" t="s">
        <v>17</v>
      </c>
      <c r="C9" s="4" t="s">
        <v>26</v>
      </c>
      <c r="D9" s="4">
        <v>8</v>
      </c>
      <c r="E9" s="4">
        <v>1</v>
      </c>
      <c r="F9" s="4" t="s">
        <v>19</v>
      </c>
      <c r="G9" s="4" t="s">
        <v>38</v>
      </c>
      <c r="H9" s="4">
        <v>75</v>
      </c>
      <c r="I9" s="4">
        <v>41.76</v>
      </c>
      <c r="J9" s="4">
        <v>8</v>
      </c>
      <c r="K9" s="4">
        <v>8</v>
      </c>
      <c r="L9" s="4">
        <v>3432.55</v>
      </c>
      <c r="M9" s="4">
        <v>429.07</v>
      </c>
      <c r="N9" s="4" t="s">
        <v>21</v>
      </c>
      <c r="O9" s="4" t="s">
        <v>22</v>
      </c>
      <c r="P9" s="9" t="s">
        <v>46</v>
      </c>
    </row>
    <row r="10" spans="1:16">
      <c r="A10" s="6" t="s">
        <v>37</v>
      </c>
      <c r="B10" s="3" t="s">
        <v>30</v>
      </c>
      <c r="C10" s="3" t="s">
        <v>18</v>
      </c>
      <c r="D10" s="3">
        <v>1</v>
      </c>
      <c r="E10" s="3">
        <v>1</v>
      </c>
      <c r="F10" s="3" t="s">
        <v>19</v>
      </c>
      <c r="G10" s="3" t="s">
        <v>38</v>
      </c>
      <c r="H10" s="3">
        <v>75</v>
      </c>
      <c r="I10" s="3">
        <v>138.44999999999999</v>
      </c>
      <c r="J10" s="3">
        <v>1</v>
      </c>
      <c r="K10" s="3">
        <v>1</v>
      </c>
      <c r="L10" s="3">
        <v>1035.3399999999999</v>
      </c>
      <c r="M10" s="3">
        <v>1035.3399999999999</v>
      </c>
      <c r="N10" s="3" t="s">
        <v>21</v>
      </c>
      <c r="O10" s="3" t="s">
        <v>22</v>
      </c>
      <c r="P10" s="7" t="s">
        <v>47</v>
      </c>
    </row>
    <row r="11" spans="1:16">
      <c r="A11" s="8" t="s">
        <v>37</v>
      </c>
      <c r="B11" s="4" t="s">
        <v>30</v>
      </c>
      <c r="C11" s="4" t="s">
        <v>18</v>
      </c>
      <c r="D11" s="4">
        <v>2</v>
      </c>
      <c r="E11" s="4">
        <v>1</v>
      </c>
      <c r="F11" s="4" t="s">
        <v>19</v>
      </c>
      <c r="G11" s="4" t="s">
        <v>38</v>
      </c>
      <c r="H11" s="4">
        <v>75</v>
      </c>
      <c r="I11" s="4">
        <v>60</v>
      </c>
      <c r="J11" s="4">
        <v>2</v>
      </c>
      <c r="K11" s="4">
        <v>2</v>
      </c>
      <c r="L11" s="4">
        <v>2389.3200000000002</v>
      </c>
      <c r="M11" s="4">
        <v>1194.6600000000001</v>
      </c>
      <c r="N11" s="4" t="s">
        <v>21</v>
      </c>
      <c r="O11" s="4" t="s">
        <v>22</v>
      </c>
      <c r="P11" s="9" t="s">
        <v>52</v>
      </c>
    </row>
    <row r="12" spans="1:16">
      <c r="A12" s="6" t="s">
        <v>37</v>
      </c>
      <c r="B12" s="3" t="s">
        <v>30</v>
      </c>
      <c r="C12" s="3" t="s">
        <v>18</v>
      </c>
      <c r="D12" s="3">
        <v>4</v>
      </c>
      <c r="E12" s="3">
        <v>1</v>
      </c>
      <c r="F12" s="3" t="s">
        <v>19</v>
      </c>
      <c r="G12" s="3" t="s">
        <v>38</v>
      </c>
      <c r="H12" s="3">
        <v>75</v>
      </c>
      <c r="I12" s="3">
        <v>36.869999999999997</v>
      </c>
      <c r="J12" s="3">
        <v>4</v>
      </c>
      <c r="K12" s="3">
        <v>4</v>
      </c>
      <c r="L12" s="3">
        <v>3887.71</v>
      </c>
      <c r="M12" s="3">
        <v>971.93</v>
      </c>
      <c r="N12" s="3" t="s">
        <v>21</v>
      </c>
      <c r="O12" s="3" t="s">
        <v>22</v>
      </c>
      <c r="P12" s="7" t="s">
        <v>57</v>
      </c>
    </row>
    <row r="13" spans="1:16">
      <c r="A13" s="8" t="s">
        <v>37</v>
      </c>
      <c r="B13" s="4" t="s">
        <v>30</v>
      </c>
      <c r="C13" s="4" t="s">
        <v>18</v>
      </c>
      <c r="D13" s="4">
        <v>8</v>
      </c>
      <c r="E13" s="4">
        <v>1</v>
      </c>
      <c r="F13" s="4" t="s">
        <v>19</v>
      </c>
      <c r="G13" s="4" t="s">
        <v>38</v>
      </c>
      <c r="H13" s="4">
        <v>75</v>
      </c>
      <c r="I13" s="4">
        <v>45.87</v>
      </c>
      <c r="J13" s="4">
        <v>8</v>
      </c>
      <c r="K13" s="4">
        <v>8</v>
      </c>
      <c r="L13" s="4">
        <v>3125.38</v>
      </c>
      <c r="M13" s="4">
        <v>390.67</v>
      </c>
      <c r="N13" s="4" t="s">
        <v>21</v>
      </c>
      <c r="O13" s="4" t="s">
        <v>22</v>
      </c>
      <c r="P13" s="9" t="s">
        <v>62</v>
      </c>
    </row>
    <row r="14" spans="1:16">
      <c r="A14" s="6" t="s">
        <v>37</v>
      </c>
      <c r="B14" s="3" t="s">
        <v>30</v>
      </c>
      <c r="C14" s="3" t="s">
        <v>26</v>
      </c>
      <c r="D14" s="3">
        <v>1</v>
      </c>
      <c r="E14" s="3">
        <v>1</v>
      </c>
      <c r="F14" s="3" t="s">
        <v>19</v>
      </c>
      <c r="G14" s="3" t="s">
        <v>38</v>
      </c>
      <c r="H14" s="3">
        <v>75</v>
      </c>
      <c r="I14" s="3">
        <v>137.31</v>
      </c>
      <c r="J14" s="3">
        <v>1</v>
      </c>
      <c r="K14" s="3">
        <v>1</v>
      </c>
      <c r="L14" s="3">
        <v>1043.96</v>
      </c>
      <c r="M14" s="3">
        <v>1043.96</v>
      </c>
      <c r="N14" s="3" t="s">
        <v>21</v>
      </c>
      <c r="O14" s="3" t="s">
        <v>22</v>
      </c>
      <c r="P14" s="7" t="s">
        <v>67</v>
      </c>
    </row>
    <row r="15" spans="1:16">
      <c r="A15" s="8" t="s">
        <v>37</v>
      </c>
      <c r="B15" s="4" t="s">
        <v>30</v>
      </c>
      <c r="C15" s="4" t="s">
        <v>26</v>
      </c>
      <c r="D15" s="4">
        <v>2</v>
      </c>
      <c r="E15" s="4">
        <v>1</v>
      </c>
      <c r="F15" s="4" t="s">
        <v>19</v>
      </c>
      <c r="G15" s="4" t="s">
        <v>38</v>
      </c>
      <c r="H15" s="4">
        <v>75</v>
      </c>
      <c r="I15" s="4">
        <v>56.45</v>
      </c>
      <c r="J15" s="4">
        <v>2</v>
      </c>
      <c r="K15" s="4">
        <v>2</v>
      </c>
      <c r="L15" s="4">
        <v>2539.4499999999998</v>
      </c>
      <c r="M15" s="4">
        <v>1269.72</v>
      </c>
      <c r="N15" s="4" t="s">
        <v>21</v>
      </c>
      <c r="O15" s="4" t="s">
        <v>22</v>
      </c>
      <c r="P15" s="9" t="s">
        <v>72</v>
      </c>
    </row>
    <row r="16" spans="1:16">
      <c r="A16" s="6" t="s">
        <v>37</v>
      </c>
      <c r="B16" s="3" t="s">
        <v>30</v>
      </c>
      <c r="C16" s="3" t="s">
        <v>26</v>
      </c>
      <c r="D16" s="3">
        <v>4</v>
      </c>
      <c r="E16" s="3">
        <v>1</v>
      </c>
      <c r="F16" s="3" t="s">
        <v>19</v>
      </c>
      <c r="G16" s="3" t="s">
        <v>38</v>
      </c>
      <c r="H16" s="3">
        <v>75</v>
      </c>
      <c r="I16" s="3">
        <v>33.54</v>
      </c>
      <c r="J16" s="3">
        <v>4</v>
      </c>
      <c r="K16" s="3">
        <v>4</v>
      </c>
      <c r="L16" s="3">
        <v>4273.45</v>
      </c>
      <c r="M16" s="3">
        <v>1068.3599999999999</v>
      </c>
      <c r="N16" s="3" t="s">
        <v>21</v>
      </c>
      <c r="O16" s="3" t="s">
        <v>22</v>
      </c>
      <c r="P16" s="7" t="s">
        <v>77</v>
      </c>
    </row>
    <row r="17" spans="1:16">
      <c r="A17" s="8" t="s">
        <v>37</v>
      </c>
      <c r="B17" s="4" t="s">
        <v>30</v>
      </c>
      <c r="C17" s="4" t="s">
        <v>26</v>
      </c>
      <c r="D17" s="4">
        <v>8</v>
      </c>
      <c r="E17" s="4">
        <v>1</v>
      </c>
      <c r="F17" s="4" t="s">
        <v>19</v>
      </c>
      <c r="G17" s="4" t="s">
        <v>38</v>
      </c>
      <c r="H17" s="4">
        <v>75</v>
      </c>
      <c r="I17" s="4">
        <v>44.65</v>
      </c>
      <c r="J17" s="4">
        <v>8</v>
      </c>
      <c r="K17" s="4">
        <v>8</v>
      </c>
      <c r="L17" s="4">
        <v>3210.62</v>
      </c>
      <c r="M17" s="4">
        <v>401.33</v>
      </c>
      <c r="N17" s="4" t="s">
        <v>21</v>
      </c>
      <c r="O17" s="4" t="s">
        <v>22</v>
      </c>
      <c r="P17" s="9" t="s">
        <v>82</v>
      </c>
    </row>
    <row r="30" spans="1:16">
      <c r="A30" s="3" t="s">
        <v>163</v>
      </c>
      <c r="B30" s="3" t="s">
        <v>26</v>
      </c>
      <c r="C30" s="3">
        <v>1</v>
      </c>
      <c r="D30" s="3">
        <f>1183.81/1000</f>
        <v>1.18381</v>
      </c>
      <c r="E30" s="3" t="s">
        <v>154</v>
      </c>
      <c r="F30" s="3" t="s">
        <v>156</v>
      </c>
      <c r="G30" s="3">
        <v>1</v>
      </c>
      <c r="H30" s="3">
        <f>1167.25/1000</f>
        <v>1.1672499999999999</v>
      </c>
      <c r="I30" s="3" t="s">
        <v>153</v>
      </c>
      <c r="J30" s="3" t="s">
        <v>26</v>
      </c>
      <c r="K30" s="3">
        <v>1</v>
      </c>
      <c r="L30" s="3">
        <f>1043.96/1000</f>
        <v>1.04396</v>
      </c>
      <c r="M30" s="3" t="s">
        <v>164</v>
      </c>
      <c r="N30" s="3" t="s">
        <v>18</v>
      </c>
      <c r="O30" s="3">
        <v>1</v>
      </c>
      <c r="P30" s="3">
        <f>1035.34/1000</f>
        <v>1.0353399999999999</v>
      </c>
    </row>
    <row r="31" spans="1:16">
      <c r="A31" s="3" t="s">
        <v>155</v>
      </c>
      <c r="B31" s="4" t="s">
        <v>26</v>
      </c>
      <c r="C31" s="4">
        <v>2</v>
      </c>
      <c r="D31" s="4">
        <f>3092.68/1000</f>
        <v>3.0926799999999997</v>
      </c>
      <c r="E31" s="3" t="s">
        <v>154</v>
      </c>
      <c r="F31" s="4" t="s">
        <v>18</v>
      </c>
      <c r="G31" s="4">
        <v>2</v>
      </c>
      <c r="H31" s="4">
        <f>3008.37/1000</f>
        <v>3.0083699999999998</v>
      </c>
      <c r="I31" s="3" t="s">
        <v>153</v>
      </c>
      <c r="J31" s="4" t="s">
        <v>26</v>
      </c>
      <c r="K31" s="4">
        <v>2</v>
      </c>
      <c r="L31" s="4">
        <f>2539.45/1000</f>
        <v>2.53945</v>
      </c>
      <c r="M31" s="3" t="s">
        <v>152</v>
      </c>
      <c r="N31" s="4" t="s">
        <v>18</v>
      </c>
      <c r="O31" s="4">
        <v>2</v>
      </c>
      <c r="P31" s="4">
        <f>2389.32/1000</f>
        <v>2.3893200000000001</v>
      </c>
    </row>
    <row r="32" spans="1:16">
      <c r="A32" s="3" t="s">
        <v>155</v>
      </c>
      <c r="B32" s="3" t="s">
        <v>26</v>
      </c>
      <c r="C32" s="3">
        <v>4</v>
      </c>
      <c r="D32" s="3">
        <f>5335.74/1000</f>
        <v>5.3357399999999995</v>
      </c>
      <c r="E32" s="3" t="s">
        <v>154</v>
      </c>
      <c r="F32" s="3" t="s">
        <v>18</v>
      </c>
      <c r="G32" s="3">
        <v>4</v>
      </c>
      <c r="H32" s="3">
        <f>5279.09/1000</f>
        <v>5.2790900000000001</v>
      </c>
      <c r="I32" s="3" t="s">
        <v>153</v>
      </c>
      <c r="J32" s="3" t="s">
        <v>26</v>
      </c>
      <c r="K32" s="3">
        <v>4</v>
      </c>
      <c r="L32" s="3">
        <f>4273.45/1000</f>
        <v>4.2734499999999995</v>
      </c>
      <c r="M32" s="3" t="s">
        <v>152</v>
      </c>
      <c r="N32" s="3" t="s">
        <v>18</v>
      </c>
      <c r="O32" s="3">
        <v>4</v>
      </c>
      <c r="P32" s="3">
        <f>3887.71/1000</f>
        <v>3.8877100000000002</v>
      </c>
    </row>
    <row r="33" spans="1:16">
      <c r="A33" s="3" t="s">
        <v>155</v>
      </c>
      <c r="B33" s="4" t="s">
        <v>26</v>
      </c>
      <c r="C33" s="4">
        <v>8</v>
      </c>
      <c r="D33" s="4">
        <f>3432.55/1000</f>
        <v>3.43255</v>
      </c>
      <c r="E33" s="3" t="s">
        <v>154</v>
      </c>
      <c r="F33" s="4" t="s">
        <v>18</v>
      </c>
      <c r="G33" s="4">
        <v>8</v>
      </c>
      <c r="H33" s="4">
        <f>3388.63/1000</f>
        <v>3.38863</v>
      </c>
      <c r="I33" s="3" t="s">
        <v>153</v>
      </c>
      <c r="J33" s="4" t="s">
        <v>26</v>
      </c>
      <c r="K33" s="4">
        <v>8</v>
      </c>
      <c r="L33" s="4">
        <f>3210.62/1000</f>
        <v>3.21062</v>
      </c>
      <c r="M33" s="3" t="s">
        <v>152</v>
      </c>
      <c r="N33" s="4" t="s">
        <v>18</v>
      </c>
      <c r="O33" s="4">
        <v>8</v>
      </c>
      <c r="P33" s="4">
        <f>3125.38/1000</f>
        <v>3.1253800000000003</v>
      </c>
    </row>
    <row r="34" spans="1:16">
      <c r="C34" t="s">
        <v>157</v>
      </c>
      <c r="D34">
        <f>D32/D30</f>
        <v>4.5072604556474429</v>
      </c>
      <c r="H34">
        <f>H32/H30</f>
        <v>4.5226729492396665</v>
      </c>
      <c r="L34">
        <f>L31/L30</f>
        <v>2.4325165715161501</v>
      </c>
      <c r="P34">
        <f>P31/P30</f>
        <v>2.3077636332026197</v>
      </c>
    </row>
    <row r="35" spans="1:16">
      <c r="C35" t="s">
        <v>158</v>
      </c>
      <c r="D35">
        <f>D33/D32</f>
        <v>0.64331283008542406</v>
      </c>
      <c r="H35">
        <f>H33/H32</f>
        <v>0.64189661475746762</v>
      </c>
      <c r="L35">
        <f>L33/L32</f>
        <v>0.75129462144169235</v>
      </c>
      <c r="P35">
        <f>P33/P32</f>
        <v>0.80391284329335266</v>
      </c>
    </row>
    <row r="37" spans="1:16">
      <c r="A37" t="s">
        <v>159</v>
      </c>
      <c r="B37" t="s">
        <v>26</v>
      </c>
      <c r="C37">
        <v>1</v>
      </c>
      <c r="D37">
        <f>D30/P30</f>
        <v>1.1434021674039447</v>
      </c>
      <c r="E37" t="s">
        <v>160</v>
      </c>
      <c r="F37" t="s">
        <v>18</v>
      </c>
      <c r="G37">
        <v>1</v>
      </c>
      <c r="H37">
        <f>H30/P30</f>
        <v>1.1274074217165375</v>
      </c>
      <c r="I37" t="s">
        <v>161</v>
      </c>
      <c r="J37" t="s">
        <v>26</v>
      </c>
      <c r="K37">
        <v>1</v>
      </c>
      <c r="L37">
        <f>L30/P30</f>
        <v>1.008325767380764</v>
      </c>
      <c r="M37" t="s">
        <v>162</v>
      </c>
      <c r="N37" t="s">
        <v>18</v>
      </c>
      <c r="O37">
        <v>1</v>
      </c>
      <c r="P37">
        <f>P30/P30</f>
        <v>1</v>
      </c>
    </row>
    <row r="38" spans="1:16">
      <c r="A38" t="s">
        <v>159</v>
      </c>
      <c r="B38" t="s">
        <v>26</v>
      </c>
      <c r="C38">
        <v>2</v>
      </c>
      <c r="D38">
        <f>D31/P30</f>
        <v>2.9871153437518108</v>
      </c>
      <c r="E38" t="s">
        <v>160</v>
      </c>
      <c r="F38" t="s">
        <v>18</v>
      </c>
      <c r="G38">
        <v>2</v>
      </c>
      <c r="H38">
        <f>H31/P30</f>
        <v>2.9056831572237138</v>
      </c>
      <c r="I38" t="s">
        <v>161</v>
      </c>
      <c r="J38" t="s">
        <v>26</v>
      </c>
      <c r="K38">
        <v>2</v>
      </c>
      <c r="L38">
        <f>L31/P30</f>
        <v>2.4527691386404467</v>
      </c>
      <c r="M38" t="s">
        <v>162</v>
      </c>
      <c r="N38" t="s">
        <v>18</v>
      </c>
      <c r="O38">
        <v>2</v>
      </c>
      <c r="P38">
        <f>P31/P30</f>
        <v>2.3077636332026197</v>
      </c>
    </row>
    <row r="39" spans="1:16">
      <c r="A39" t="s">
        <v>159</v>
      </c>
      <c r="B39" t="s">
        <v>26</v>
      </c>
      <c r="C39">
        <v>4</v>
      </c>
      <c r="D39">
        <f>D32/P30</f>
        <v>5.1536113740413771</v>
      </c>
      <c r="E39" t="s">
        <v>160</v>
      </c>
      <c r="F39" t="s">
        <v>18</v>
      </c>
      <c r="G39">
        <v>4</v>
      </c>
      <c r="H39">
        <f>H32/P30</f>
        <v>5.0988950489694211</v>
      </c>
      <c r="I39" t="s">
        <v>161</v>
      </c>
      <c r="J39" t="s">
        <v>26</v>
      </c>
      <c r="K39">
        <v>4</v>
      </c>
      <c r="L39">
        <f>L32/P30</f>
        <v>4.1275812776479226</v>
      </c>
      <c r="M39" t="s">
        <v>162</v>
      </c>
      <c r="N39" t="s">
        <v>18</v>
      </c>
      <c r="O39">
        <v>4</v>
      </c>
      <c r="P39">
        <f>P32/P30</f>
        <v>3.7550080166901698</v>
      </c>
    </row>
    <row r="40" spans="1:16">
      <c r="A40" t="s">
        <v>159</v>
      </c>
      <c r="B40" t="s">
        <v>26</v>
      </c>
      <c r="C40">
        <v>8</v>
      </c>
      <c r="D40">
        <f>D33/P30</f>
        <v>3.3153843181949894</v>
      </c>
      <c r="E40" t="s">
        <v>160</v>
      </c>
      <c r="F40" t="s">
        <v>18</v>
      </c>
      <c r="G40">
        <v>8</v>
      </c>
      <c r="H40">
        <f>H33/P30</f>
        <v>3.2729634709370838</v>
      </c>
      <c r="I40" t="s">
        <v>161</v>
      </c>
      <c r="J40" t="s">
        <v>26</v>
      </c>
      <c r="K40">
        <v>8</v>
      </c>
      <c r="L40">
        <f>L33/P30</f>
        <v>3.1010296134603128</v>
      </c>
      <c r="M40" t="s">
        <v>162</v>
      </c>
      <c r="N40" t="s">
        <v>18</v>
      </c>
      <c r="O40">
        <v>8</v>
      </c>
      <c r="P40">
        <f>P33/P30</f>
        <v>3.0186991712867277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5BCF-C4AD-1144-9611-514C68116144}">
  <dimension ref="A1:P35"/>
  <sheetViews>
    <sheetView tabSelected="1" topLeftCell="H1" zoomScale="56" workbookViewId="0">
      <selection activeCell="P38" sqref="P38"/>
    </sheetView>
  </sheetViews>
  <sheetFormatPr baseColWidth="10" defaultRowHeight="20"/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spans="1:16">
      <c r="A2" s="6" t="s">
        <v>87</v>
      </c>
      <c r="B2" s="3" t="s">
        <v>17</v>
      </c>
      <c r="C2" s="3" t="s">
        <v>18</v>
      </c>
      <c r="D2" s="3">
        <v>1</v>
      </c>
      <c r="E2" s="3">
        <v>1</v>
      </c>
      <c r="F2" s="3" t="s">
        <v>19</v>
      </c>
      <c r="G2" s="3" t="s">
        <v>88</v>
      </c>
      <c r="H2" s="3">
        <v>0</v>
      </c>
      <c r="I2" s="3">
        <v>62.98</v>
      </c>
      <c r="J2" s="3">
        <v>1</v>
      </c>
      <c r="K2" s="3">
        <v>1</v>
      </c>
      <c r="L2" s="3">
        <v>136.4</v>
      </c>
      <c r="M2" s="3">
        <v>136.4</v>
      </c>
      <c r="N2" s="3" t="s">
        <v>89</v>
      </c>
      <c r="O2" s="3" t="s">
        <v>22</v>
      </c>
      <c r="P2" s="7" t="s">
        <v>90</v>
      </c>
    </row>
    <row r="3" spans="1:16">
      <c r="A3" s="8" t="s">
        <v>87</v>
      </c>
      <c r="B3" s="4" t="s">
        <v>17</v>
      </c>
      <c r="C3" s="4" t="s">
        <v>18</v>
      </c>
      <c r="D3" s="4">
        <v>2</v>
      </c>
      <c r="E3" s="4">
        <v>1</v>
      </c>
      <c r="F3" s="4" t="s">
        <v>19</v>
      </c>
      <c r="G3" s="4" t="s">
        <v>88</v>
      </c>
      <c r="H3" s="4">
        <v>0</v>
      </c>
      <c r="I3" s="4">
        <v>31.46</v>
      </c>
      <c r="J3" s="4">
        <v>2</v>
      </c>
      <c r="K3" s="4">
        <v>2</v>
      </c>
      <c r="L3" s="4">
        <v>273.04000000000002</v>
      </c>
      <c r="M3" s="4">
        <v>136.52000000000001</v>
      </c>
      <c r="N3" s="4" t="s">
        <v>89</v>
      </c>
      <c r="O3" s="4" t="s">
        <v>22</v>
      </c>
      <c r="P3" s="9" t="s">
        <v>91</v>
      </c>
    </row>
    <row r="4" spans="1:16">
      <c r="A4" s="6" t="s">
        <v>87</v>
      </c>
      <c r="B4" s="3" t="s">
        <v>17</v>
      </c>
      <c r="C4" s="3" t="s">
        <v>18</v>
      </c>
      <c r="D4" s="3">
        <v>4</v>
      </c>
      <c r="E4" s="3">
        <v>1</v>
      </c>
      <c r="F4" s="3" t="s">
        <v>92</v>
      </c>
      <c r="G4" s="3" t="s">
        <v>92</v>
      </c>
      <c r="H4" s="3"/>
      <c r="I4" s="3"/>
      <c r="J4" s="3"/>
      <c r="K4" s="3"/>
      <c r="L4" s="3"/>
      <c r="M4" s="3"/>
      <c r="N4" s="3" t="s">
        <v>92</v>
      </c>
      <c r="O4" s="3" t="s">
        <v>92</v>
      </c>
      <c r="P4" s="7" t="s">
        <v>93</v>
      </c>
    </row>
    <row r="5" spans="1:16">
      <c r="A5" s="8" t="s">
        <v>87</v>
      </c>
      <c r="B5" s="4" t="s">
        <v>17</v>
      </c>
      <c r="C5" s="4" t="s">
        <v>18</v>
      </c>
      <c r="D5" s="4">
        <v>8</v>
      </c>
      <c r="E5" s="4">
        <v>1</v>
      </c>
      <c r="F5" s="4" t="s">
        <v>19</v>
      </c>
      <c r="G5" s="4" t="s">
        <v>88</v>
      </c>
      <c r="H5" s="4">
        <v>0</v>
      </c>
      <c r="I5" s="4">
        <v>8.91</v>
      </c>
      <c r="J5" s="4">
        <v>8</v>
      </c>
      <c r="K5" s="4">
        <v>8</v>
      </c>
      <c r="L5" s="4">
        <v>964.55</v>
      </c>
      <c r="M5" s="4">
        <v>120.57</v>
      </c>
      <c r="N5" s="4" t="s">
        <v>89</v>
      </c>
      <c r="O5" s="4" t="s">
        <v>22</v>
      </c>
      <c r="P5" s="9" t="s">
        <v>94</v>
      </c>
    </row>
    <row r="6" spans="1:16">
      <c r="A6" s="6" t="s">
        <v>87</v>
      </c>
      <c r="B6" s="3" t="s">
        <v>17</v>
      </c>
      <c r="C6" s="3" t="s">
        <v>26</v>
      </c>
      <c r="D6" s="3">
        <v>1</v>
      </c>
      <c r="E6" s="3">
        <v>1</v>
      </c>
      <c r="F6" s="3" t="s">
        <v>19</v>
      </c>
      <c r="G6" s="3" t="s">
        <v>88</v>
      </c>
      <c r="H6" s="3">
        <v>0</v>
      </c>
      <c r="I6" s="3">
        <v>62.86</v>
      </c>
      <c r="J6" s="3">
        <v>1</v>
      </c>
      <c r="K6" s="3">
        <v>1</v>
      </c>
      <c r="L6" s="3">
        <v>136.66</v>
      </c>
      <c r="M6" s="3">
        <v>136.66</v>
      </c>
      <c r="N6" s="3" t="s">
        <v>89</v>
      </c>
      <c r="O6" s="3" t="s">
        <v>22</v>
      </c>
      <c r="P6" s="7" t="s">
        <v>95</v>
      </c>
    </row>
    <row r="7" spans="1:16">
      <c r="A7" s="8" t="s">
        <v>87</v>
      </c>
      <c r="B7" s="4" t="s">
        <v>17</v>
      </c>
      <c r="C7" s="4" t="s">
        <v>26</v>
      </c>
      <c r="D7" s="4">
        <v>2</v>
      </c>
      <c r="E7" s="4">
        <v>1</v>
      </c>
      <c r="F7" s="4" t="s">
        <v>19</v>
      </c>
      <c r="G7" s="4" t="s">
        <v>88</v>
      </c>
      <c r="H7" s="4">
        <v>0</v>
      </c>
      <c r="I7" s="4">
        <v>31.5</v>
      </c>
      <c r="J7" s="4">
        <v>2</v>
      </c>
      <c r="K7" s="4">
        <v>2</v>
      </c>
      <c r="L7" s="4">
        <v>272.67</v>
      </c>
      <c r="M7" s="4">
        <v>136.34</v>
      </c>
      <c r="N7" s="4" t="s">
        <v>89</v>
      </c>
      <c r="O7" s="4" t="s">
        <v>22</v>
      </c>
      <c r="P7" s="9" t="s">
        <v>96</v>
      </c>
    </row>
    <row r="8" spans="1:16">
      <c r="A8" s="6" t="s">
        <v>87</v>
      </c>
      <c r="B8" s="3" t="s">
        <v>17</v>
      </c>
      <c r="C8" s="3" t="s">
        <v>26</v>
      </c>
      <c r="D8" s="3">
        <v>4</v>
      </c>
      <c r="E8" s="3">
        <v>1</v>
      </c>
      <c r="F8" s="3" t="s">
        <v>19</v>
      </c>
      <c r="G8" s="3" t="s">
        <v>88</v>
      </c>
      <c r="H8" s="3">
        <v>0</v>
      </c>
      <c r="I8" s="3">
        <v>15.75</v>
      </c>
      <c r="J8" s="3">
        <v>4</v>
      </c>
      <c r="K8" s="3">
        <v>4</v>
      </c>
      <c r="L8" s="3">
        <v>545.54999999999995</v>
      </c>
      <c r="M8" s="3">
        <v>136.38999999999999</v>
      </c>
      <c r="N8" s="3" t="s">
        <v>89</v>
      </c>
      <c r="O8" s="3" t="s">
        <v>22</v>
      </c>
      <c r="P8" s="7" t="s">
        <v>97</v>
      </c>
    </row>
    <row r="9" spans="1:16">
      <c r="A9" s="8" t="s">
        <v>87</v>
      </c>
      <c r="B9" s="4" t="s">
        <v>17</v>
      </c>
      <c r="C9" s="4" t="s">
        <v>26</v>
      </c>
      <c r="D9" s="4">
        <v>8</v>
      </c>
      <c r="E9" s="4">
        <v>1</v>
      </c>
      <c r="F9" s="4" t="s">
        <v>19</v>
      </c>
      <c r="G9" s="4" t="s">
        <v>88</v>
      </c>
      <c r="H9" s="4">
        <v>0</v>
      </c>
      <c r="I9" s="4">
        <v>8.9</v>
      </c>
      <c r="J9" s="4">
        <v>8</v>
      </c>
      <c r="K9" s="4">
        <v>8</v>
      </c>
      <c r="L9" s="4">
        <v>965.64</v>
      </c>
      <c r="M9" s="4">
        <v>120.71</v>
      </c>
      <c r="N9" s="4" t="s">
        <v>89</v>
      </c>
      <c r="O9" s="4" t="s">
        <v>22</v>
      </c>
      <c r="P9" s="9" t="s">
        <v>98</v>
      </c>
    </row>
    <row r="10" spans="1:16">
      <c r="A10" s="6" t="s">
        <v>87</v>
      </c>
      <c r="B10" s="3" t="s">
        <v>30</v>
      </c>
      <c r="C10" s="3" t="s">
        <v>18</v>
      </c>
      <c r="D10" s="3">
        <v>1</v>
      </c>
      <c r="E10" s="3">
        <v>1</v>
      </c>
      <c r="F10" s="3" t="s">
        <v>19</v>
      </c>
      <c r="G10" s="3" t="s">
        <v>88</v>
      </c>
      <c r="H10" s="3">
        <v>0</v>
      </c>
      <c r="I10" s="3">
        <v>158.38</v>
      </c>
      <c r="J10" s="3">
        <v>1</v>
      </c>
      <c r="K10" s="3">
        <v>1</v>
      </c>
      <c r="L10" s="3">
        <v>54.24</v>
      </c>
      <c r="M10" s="3">
        <v>54.24</v>
      </c>
      <c r="N10" s="3" t="s">
        <v>89</v>
      </c>
      <c r="O10" s="3" t="s">
        <v>22</v>
      </c>
      <c r="P10" s="7" t="s">
        <v>99</v>
      </c>
    </row>
    <row r="11" spans="1:16">
      <c r="A11" s="8" t="s">
        <v>87</v>
      </c>
      <c r="B11" s="4" t="s">
        <v>30</v>
      </c>
      <c r="C11" s="4" t="s">
        <v>18</v>
      </c>
      <c r="D11" s="4">
        <v>2</v>
      </c>
      <c r="E11" s="4">
        <v>1</v>
      </c>
      <c r="F11" s="4" t="s">
        <v>19</v>
      </c>
      <c r="G11" s="4" t="s">
        <v>88</v>
      </c>
      <c r="H11" s="4">
        <v>0</v>
      </c>
      <c r="I11" s="4">
        <v>79.2</v>
      </c>
      <c r="J11" s="4">
        <v>2</v>
      </c>
      <c r="K11" s="4">
        <v>2</v>
      </c>
      <c r="L11" s="4">
        <v>108.46</v>
      </c>
      <c r="M11" s="4">
        <v>54.23</v>
      </c>
      <c r="N11" s="4" t="s">
        <v>89</v>
      </c>
      <c r="O11" s="4" t="s">
        <v>22</v>
      </c>
      <c r="P11" s="9" t="s">
        <v>104</v>
      </c>
    </row>
    <row r="12" spans="1:16">
      <c r="A12" s="6" t="s">
        <v>87</v>
      </c>
      <c r="B12" s="3" t="s">
        <v>30</v>
      </c>
      <c r="C12" s="3" t="s">
        <v>18</v>
      </c>
      <c r="D12" s="3">
        <v>4</v>
      </c>
      <c r="E12" s="3">
        <v>1</v>
      </c>
      <c r="F12" s="3" t="s">
        <v>19</v>
      </c>
      <c r="G12" s="3" t="s">
        <v>88</v>
      </c>
      <c r="H12" s="3">
        <v>0</v>
      </c>
      <c r="I12" s="3">
        <v>39.619999999999997</v>
      </c>
      <c r="J12" s="3">
        <v>4</v>
      </c>
      <c r="K12" s="3">
        <v>4</v>
      </c>
      <c r="L12" s="3">
        <v>216.82</v>
      </c>
      <c r="M12" s="3">
        <v>54.2</v>
      </c>
      <c r="N12" s="3" t="s">
        <v>89</v>
      </c>
      <c r="O12" s="3" t="s">
        <v>22</v>
      </c>
      <c r="P12" s="7" t="s">
        <v>109</v>
      </c>
    </row>
    <row r="13" spans="1:16">
      <c r="A13" s="8" t="s">
        <v>87</v>
      </c>
      <c r="B13" s="4" t="s">
        <v>30</v>
      </c>
      <c r="C13" s="4" t="s">
        <v>18</v>
      </c>
      <c r="D13" s="4">
        <v>8</v>
      </c>
      <c r="E13" s="4">
        <v>1</v>
      </c>
      <c r="F13" s="4" t="s">
        <v>19</v>
      </c>
      <c r="G13" s="4" t="s">
        <v>88</v>
      </c>
      <c r="H13" s="4">
        <v>0</v>
      </c>
      <c r="I13" s="4">
        <v>22.4</v>
      </c>
      <c r="J13" s="4">
        <v>8</v>
      </c>
      <c r="K13" s="4">
        <v>8</v>
      </c>
      <c r="L13" s="4">
        <v>383.47</v>
      </c>
      <c r="M13" s="4">
        <v>47.93</v>
      </c>
      <c r="N13" s="4" t="s">
        <v>89</v>
      </c>
      <c r="O13" s="4" t="s">
        <v>22</v>
      </c>
      <c r="P13" s="9" t="s">
        <v>114</v>
      </c>
    </row>
    <row r="14" spans="1:16">
      <c r="A14" s="6" t="s">
        <v>87</v>
      </c>
      <c r="B14" s="3" t="s">
        <v>30</v>
      </c>
      <c r="C14" s="3" t="s">
        <v>26</v>
      </c>
      <c r="D14" s="3">
        <v>1</v>
      </c>
      <c r="E14" s="3">
        <v>1</v>
      </c>
      <c r="F14" s="3" t="s">
        <v>19</v>
      </c>
      <c r="G14" s="3" t="s">
        <v>88</v>
      </c>
      <c r="H14" s="3">
        <v>0</v>
      </c>
      <c r="I14" s="3">
        <v>158.41</v>
      </c>
      <c r="J14" s="3">
        <v>1</v>
      </c>
      <c r="K14" s="3">
        <v>1</v>
      </c>
      <c r="L14" s="3">
        <v>54.23</v>
      </c>
      <c r="M14" s="3">
        <v>54.23</v>
      </c>
      <c r="N14" s="3" t="s">
        <v>89</v>
      </c>
      <c r="O14" s="3" t="s">
        <v>22</v>
      </c>
      <c r="P14" s="7" t="s">
        <v>119</v>
      </c>
    </row>
    <row r="15" spans="1:16">
      <c r="A15" s="8" t="s">
        <v>87</v>
      </c>
      <c r="B15" s="4" t="s">
        <v>30</v>
      </c>
      <c r="C15" s="4" t="s">
        <v>26</v>
      </c>
      <c r="D15" s="4">
        <v>2</v>
      </c>
      <c r="E15" s="4">
        <v>1</v>
      </c>
      <c r="F15" s="4" t="s">
        <v>19</v>
      </c>
      <c r="G15" s="4" t="s">
        <v>88</v>
      </c>
      <c r="H15" s="4">
        <v>0</v>
      </c>
      <c r="I15" s="4">
        <v>79.209999999999994</v>
      </c>
      <c r="J15" s="4">
        <v>2</v>
      </c>
      <c r="K15" s="4">
        <v>2</v>
      </c>
      <c r="L15" s="4">
        <v>108.45</v>
      </c>
      <c r="M15" s="4">
        <v>54.23</v>
      </c>
      <c r="N15" s="4" t="s">
        <v>89</v>
      </c>
      <c r="O15" s="4" t="s">
        <v>22</v>
      </c>
      <c r="P15" s="9" t="s">
        <v>124</v>
      </c>
    </row>
    <row r="16" spans="1:16">
      <c r="A16" s="6" t="s">
        <v>87</v>
      </c>
      <c r="B16" s="3" t="s">
        <v>30</v>
      </c>
      <c r="C16" s="3" t="s">
        <v>26</v>
      </c>
      <c r="D16" s="3">
        <v>4</v>
      </c>
      <c r="E16" s="3">
        <v>1</v>
      </c>
      <c r="F16" s="3" t="s">
        <v>19</v>
      </c>
      <c r="G16" s="3" t="s">
        <v>88</v>
      </c>
      <c r="H16" s="3">
        <v>0</v>
      </c>
      <c r="I16" s="3">
        <v>39.6</v>
      </c>
      <c r="J16" s="3">
        <v>4</v>
      </c>
      <c r="K16" s="3">
        <v>4</v>
      </c>
      <c r="L16" s="3">
        <v>216.91</v>
      </c>
      <c r="M16" s="3">
        <v>54.23</v>
      </c>
      <c r="N16" s="3" t="s">
        <v>89</v>
      </c>
      <c r="O16" s="3" t="s">
        <v>22</v>
      </c>
      <c r="P16" s="7" t="s">
        <v>129</v>
      </c>
    </row>
    <row r="17" spans="1:16">
      <c r="A17" s="8" t="s">
        <v>87</v>
      </c>
      <c r="B17" s="4" t="s">
        <v>30</v>
      </c>
      <c r="C17" s="4" t="s">
        <v>26</v>
      </c>
      <c r="D17" s="4">
        <v>8</v>
      </c>
      <c r="E17" s="4">
        <v>1</v>
      </c>
      <c r="F17" s="4" t="s">
        <v>19</v>
      </c>
      <c r="G17" s="4" t="s">
        <v>88</v>
      </c>
      <c r="H17" s="4">
        <v>0</v>
      </c>
      <c r="I17" s="4">
        <v>22.41</v>
      </c>
      <c r="J17" s="4">
        <v>8</v>
      </c>
      <c r="K17" s="4">
        <v>8</v>
      </c>
      <c r="L17" s="4">
        <v>383.38</v>
      </c>
      <c r="M17" s="4">
        <v>47.92</v>
      </c>
      <c r="N17" s="4" t="s">
        <v>89</v>
      </c>
      <c r="O17" s="4" t="s">
        <v>22</v>
      </c>
      <c r="P17" s="9" t="s">
        <v>134</v>
      </c>
    </row>
    <row r="26" spans="1:16">
      <c r="A26" s="3" t="s">
        <v>163</v>
      </c>
      <c r="B26" s="3" t="s">
        <v>26</v>
      </c>
      <c r="C26" s="3">
        <v>1</v>
      </c>
      <c r="D26" s="3">
        <f>136.66/1000</f>
        <v>0.13666</v>
      </c>
      <c r="E26" s="3" t="s">
        <v>154</v>
      </c>
      <c r="F26" s="3" t="s">
        <v>156</v>
      </c>
      <c r="G26" s="3">
        <v>1</v>
      </c>
      <c r="H26" s="3">
        <f>136.4/1000</f>
        <v>0.13639999999999999</v>
      </c>
      <c r="I26" s="3" t="s">
        <v>153</v>
      </c>
      <c r="J26" s="3" t="s">
        <v>26</v>
      </c>
      <c r="K26" s="3">
        <v>1</v>
      </c>
      <c r="L26" s="3">
        <f>54.23/1000</f>
        <v>5.4229999999999993E-2</v>
      </c>
      <c r="M26" s="3" t="s">
        <v>164</v>
      </c>
      <c r="N26" s="3" t="s">
        <v>18</v>
      </c>
      <c r="O26" s="3">
        <v>1</v>
      </c>
      <c r="P26" s="3">
        <f>54.24/1000</f>
        <v>5.4240000000000003E-2</v>
      </c>
    </row>
    <row r="27" spans="1:16">
      <c r="A27" s="3" t="s">
        <v>155</v>
      </c>
      <c r="B27" s="4" t="s">
        <v>26</v>
      </c>
      <c r="C27" s="4">
        <v>2</v>
      </c>
      <c r="D27" s="4">
        <f>272.67/1000</f>
        <v>0.27267000000000002</v>
      </c>
      <c r="E27" s="3" t="s">
        <v>154</v>
      </c>
      <c r="F27" s="4" t="s">
        <v>18</v>
      </c>
      <c r="G27" s="4">
        <v>2</v>
      </c>
      <c r="H27" s="4">
        <f>273.04/1000</f>
        <v>0.27304</v>
      </c>
      <c r="I27" s="3" t="s">
        <v>153</v>
      </c>
      <c r="J27" s="4" t="s">
        <v>26</v>
      </c>
      <c r="K27" s="4">
        <v>2</v>
      </c>
      <c r="L27" s="4">
        <f>108.45/1000</f>
        <v>0.10845</v>
      </c>
      <c r="M27" s="3" t="s">
        <v>152</v>
      </c>
      <c r="N27" s="4" t="s">
        <v>18</v>
      </c>
      <c r="O27" s="4">
        <v>2</v>
      </c>
      <c r="P27" s="4">
        <f>108.46/1000</f>
        <v>0.10845999999999999</v>
      </c>
    </row>
    <row r="28" spans="1:16">
      <c r="A28" s="3" t="s">
        <v>155</v>
      </c>
      <c r="B28" s="3" t="s">
        <v>26</v>
      </c>
      <c r="C28" s="3">
        <v>4</v>
      </c>
      <c r="D28" s="3">
        <f>545.55/1000</f>
        <v>0.54554999999999998</v>
      </c>
      <c r="E28" s="3" t="s">
        <v>154</v>
      </c>
      <c r="F28" s="3" t="s">
        <v>18</v>
      </c>
      <c r="G28" s="3">
        <v>4</v>
      </c>
      <c r="H28" s="10">
        <f>545.07/1000</f>
        <v>0.54507000000000005</v>
      </c>
      <c r="I28" s="3" t="s">
        <v>153</v>
      </c>
      <c r="J28" s="3" t="s">
        <v>26</v>
      </c>
      <c r="K28" s="3">
        <v>4</v>
      </c>
      <c r="L28" s="3">
        <f>216.91/1000</f>
        <v>0.21690999999999999</v>
      </c>
      <c r="M28" s="3" t="s">
        <v>152</v>
      </c>
      <c r="N28" s="3" t="s">
        <v>18</v>
      </c>
      <c r="O28" s="3">
        <v>4</v>
      </c>
      <c r="P28" s="3">
        <f>216.82/1000</f>
        <v>0.21681999999999998</v>
      </c>
    </row>
    <row r="29" spans="1:16">
      <c r="A29" s="3" t="s">
        <v>155</v>
      </c>
      <c r="B29" s="4" t="s">
        <v>26</v>
      </c>
      <c r="C29" s="4">
        <v>8</v>
      </c>
      <c r="D29" s="4">
        <f>965.64/1000</f>
        <v>0.96563999999999994</v>
      </c>
      <c r="E29" s="3" t="s">
        <v>154</v>
      </c>
      <c r="F29" s="4" t="s">
        <v>18</v>
      </c>
      <c r="G29" s="4">
        <v>8</v>
      </c>
      <c r="H29" s="4">
        <f>964.55/1000</f>
        <v>0.96454999999999991</v>
      </c>
      <c r="I29" s="3" t="s">
        <v>153</v>
      </c>
      <c r="J29" s="4" t="s">
        <v>26</v>
      </c>
      <c r="K29" s="4">
        <v>8</v>
      </c>
      <c r="L29" s="4">
        <f>383.38/1000</f>
        <v>0.38338</v>
      </c>
      <c r="M29" s="3" t="s">
        <v>152</v>
      </c>
      <c r="N29" s="4" t="s">
        <v>18</v>
      </c>
      <c r="O29" s="4">
        <v>8</v>
      </c>
      <c r="P29" s="4">
        <f>383.47/1000</f>
        <v>0.38347000000000003</v>
      </c>
    </row>
    <row r="30" spans="1:16">
      <c r="D30">
        <f>D29/D26</f>
        <v>7.0660032196692519</v>
      </c>
      <c r="H30">
        <f>H29/H26</f>
        <v>7.0714809384164221</v>
      </c>
      <c r="L30">
        <f>L29/L26</f>
        <v>7.0695187165775408</v>
      </c>
      <c r="P30">
        <f>P29/P26</f>
        <v>7.0698746312684371</v>
      </c>
    </row>
    <row r="32" spans="1:16">
      <c r="A32" t="s">
        <v>159</v>
      </c>
      <c r="B32" t="s">
        <v>26</v>
      </c>
      <c r="C32">
        <v>1</v>
      </c>
      <c r="D32">
        <f>D26/P26</f>
        <v>2.5195427728613566</v>
      </c>
      <c r="E32" t="s">
        <v>160</v>
      </c>
      <c r="F32" t="s">
        <v>18</v>
      </c>
      <c r="G32">
        <v>1</v>
      </c>
      <c r="H32">
        <f>H26/P26</f>
        <v>2.5147492625368728</v>
      </c>
      <c r="I32" t="s">
        <v>161</v>
      </c>
      <c r="J32" t="s">
        <v>26</v>
      </c>
      <c r="K32">
        <v>1</v>
      </c>
      <c r="L32">
        <f>L26/P26</f>
        <v>0.9998156342182889</v>
      </c>
      <c r="M32" t="s">
        <v>162</v>
      </c>
      <c r="N32" t="s">
        <v>18</v>
      </c>
      <c r="O32">
        <v>1</v>
      </c>
      <c r="P32">
        <f>P26/P26</f>
        <v>1</v>
      </c>
    </row>
    <row r="33" spans="1:16">
      <c r="A33" t="s">
        <v>159</v>
      </c>
      <c r="B33" t="s">
        <v>26</v>
      </c>
      <c r="C33">
        <v>2</v>
      </c>
      <c r="D33">
        <f>D27/P26</f>
        <v>5.0271017699115044</v>
      </c>
      <c r="E33" t="s">
        <v>160</v>
      </c>
      <c r="F33" t="s">
        <v>18</v>
      </c>
      <c r="G33">
        <v>2</v>
      </c>
      <c r="H33">
        <f>H27/P26</f>
        <v>5.0339233038348077</v>
      </c>
      <c r="I33" t="s">
        <v>161</v>
      </c>
      <c r="J33" t="s">
        <v>26</v>
      </c>
      <c r="K33">
        <v>2</v>
      </c>
      <c r="L33">
        <f>L27/P26</f>
        <v>1.9994469026548671</v>
      </c>
      <c r="M33" t="s">
        <v>162</v>
      </c>
      <c r="N33" t="s">
        <v>18</v>
      </c>
      <c r="O33">
        <v>2</v>
      </c>
      <c r="P33">
        <f>P27/P26</f>
        <v>1.9996312684365778</v>
      </c>
    </row>
    <row r="34" spans="1:16">
      <c r="A34" t="s">
        <v>159</v>
      </c>
      <c r="B34" t="s">
        <v>26</v>
      </c>
      <c r="C34">
        <v>4</v>
      </c>
      <c r="D34">
        <f>D28/P26</f>
        <v>10.058075221238937</v>
      </c>
      <c r="E34" t="s">
        <v>160</v>
      </c>
      <c r="F34" t="s">
        <v>18</v>
      </c>
      <c r="G34">
        <v>4</v>
      </c>
      <c r="H34">
        <f>H28/P26</f>
        <v>10.049225663716815</v>
      </c>
      <c r="I34" t="s">
        <v>161</v>
      </c>
      <c r="J34" t="s">
        <v>26</v>
      </c>
      <c r="K34">
        <v>4</v>
      </c>
      <c r="L34">
        <f>L28/P26</f>
        <v>3.9990781710914449</v>
      </c>
      <c r="M34" t="s">
        <v>162</v>
      </c>
      <c r="N34" t="s">
        <v>18</v>
      </c>
      <c r="O34">
        <v>4</v>
      </c>
      <c r="P34">
        <f>P28/P26</f>
        <v>3.9974188790560468</v>
      </c>
    </row>
    <row r="35" spans="1:16">
      <c r="A35" t="s">
        <v>159</v>
      </c>
      <c r="B35" t="s">
        <v>26</v>
      </c>
      <c r="C35">
        <v>8</v>
      </c>
      <c r="D35">
        <f>D29/P26</f>
        <v>17.803097345132741</v>
      </c>
      <c r="E35" t="s">
        <v>160</v>
      </c>
      <c r="F35" t="s">
        <v>18</v>
      </c>
      <c r="G35">
        <v>8</v>
      </c>
      <c r="H35">
        <f>H29/P26</f>
        <v>17.783001474926252</v>
      </c>
      <c r="I35" t="s">
        <v>161</v>
      </c>
      <c r="J35" t="s">
        <v>26</v>
      </c>
      <c r="K35">
        <v>8</v>
      </c>
      <c r="L35">
        <f>L29/P26</f>
        <v>7.0682153392330376</v>
      </c>
      <c r="M35" t="s">
        <v>162</v>
      </c>
      <c r="N35" t="s">
        <v>18</v>
      </c>
      <c r="O35">
        <v>8</v>
      </c>
      <c r="P35">
        <f>P29/P26</f>
        <v>7.0698746312684371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6F90-3178-1C42-89C3-09E1271F7872}">
  <dimension ref="A1:P22"/>
  <sheetViews>
    <sheetView topLeftCell="E1" zoomScale="87" workbookViewId="0">
      <selection activeCell="I41" sqref="I41"/>
    </sheetView>
  </sheetViews>
  <sheetFormatPr baseColWidth="10" defaultRowHeight="20"/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spans="1:16">
      <c r="A2" s="6" t="s">
        <v>139</v>
      </c>
      <c r="B2" s="3" t="s">
        <v>17</v>
      </c>
      <c r="C2" s="3" t="s">
        <v>18</v>
      </c>
      <c r="D2" s="3">
        <v>1</v>
      </c>
      <c r="E2" s="3">
        <v>1</v>
      </c>
      <c r="F2" s="3" t="s">
        <v>19</v>
      </c>
      <c r="G2" s="3" t="s">
        <v>20</v>
      </c>
      <c r="H2" s="3">
        <v>400</v>
      </c>
      <c r="I2" s="3">
        <v>424.33</v>
      </c>
      <c r="J2" s="3">
        <v>1</v>
      </c>
      <c r="K2" s="3">
        <v>1</v>
      </c>
      <c r="L2" s="3">
        <v>3417.4</v>
      </c>
      <c r="M2" s="3">
        <v>3417.4</v>
      </c>
      <c r="N2" s="3" t="s">
        <v>21</v>
      </c>
      <c r="O2" s="3" t="s">
        <v>22</v>
      </c>
      <c r="P2" s="7" t="s">
        <v>140</v>
      </c>
    </row>
    <row r="3" spans="1:16">
      <c r="A3" s="8" t="s">
        <v>139</v>
      </c>
      <c r="B3" s="4" t="s">
        <v>17</v>
      </c>
      <c r="C3" s="4" t="s">
        <v>18</v>
      </c>
      <c r="D3" s="4">
        <v>4</v>
      </c>
      <c r="E3" s="4">
        <v>1</v>
      </c>
      <c r="F3" s="4" t="s">
        <v>19</v>
      </c>
      <c r="G3" s="4" t="s">
        <v>20</v>
      </c>
      <c r="H3" s="4">
        <v>400</v>
      </c>
      <c r="I3" s="4">
        <v>108.41</v>
      </c>
      <c r="J3" s="4">
        <v>4</v>
      </c>
      <c r="K3" s="4">
        <v>4</v>
      </c>
      <c r="L3" s="4">
        <v>13376.61</v>
      </c>
      <c r="M3" s="4">
        <v>3344.15</v>
      </c>
      <c r="N3" s="4" t="s">
        <v>21</v>
      </c>
      <c r="O3" s="4" t="s">
        <v>22</v>
      </c>
      <c r="P3" s="9" t="s">
        <v>141</v>
      </c>
    </row>
    <row r="4" spans="1:16">
      <c r="A4" s="6" t="s">
        <v>139</v>
      </c>
      <c r="B4" s="3" t="s">
        <v>17</v>
      </c>
      <c r="C4" s="3" t="s">
        <v>18</v>
      </c>
      <c r="D4" s="3">
        <v>16</v>
      </c>
      <c r="E4" s="3">
        <v>1</v>
      </c>
      <c r="F4" s="3" t="s">
        <v>19</v>
      </c>
      <c r="G4" s="3" t="s">
        <v>20</v>
      </c>
      <c r="H4" s="3">
        <v>400</v>
      </c>
      <c r="I4" s="3">
        <v>98.41</v>
      </c>
      <c r="J4" s="3">
        <v>16</v>
      </c>
      <c r="K4" s="3">
        <v>16</v>
      </c>
      <c r="L4" s="3">
        <v>14735.63</v>
      </c>
      <c r="M4" s="3">
        <v>920.98</v>
      </c>
      <c r="N4" s="3" t="s">
        <v>21</v>
      </c>
      <c r="O4" s="3" t="s">
        <v>22</v>
      </c>
      <c r="P4" s="7" t="s">
        <v>142</v>
      </c>
    </row>
    <row r="5" spans="1:16">
      <c r="A5" s="8" t="s">
        <v>139</v>
      </c>
      <c r="B5" s="4" t="s">
        <v>17</v>
      </c>
      <c r="C5" s="4" t="s">
        <v>26</v>
      </c>
      <c r="D5" s="4">
        <v>1</v>
      </c>
      <c r="E5" s="4">
        <v>1</v>
      </c>
      <c r="F5" s="4" t="s">
        <v>19</v>
      </c>
      <c r="G5" s="4" t="s">
        <v>20</v>
      </c>
      <c r="H5" s="4">
        <v>400</v>
      </c>
      <c r="I5" s="4">
        <v>430.24</v>
      </c>
      <c r="J5" s="4">
        <v>1</v>
      </c>
      <c r="K5" s="4">
        <v>1</v>
      </c>
      <c r="L5" s="4">
        <v>3370.46</v>
      </c>
      <c r="M5" s="4">
        <v>3370.46</v>
      </c>
      <c r="N5" s="4" t="s">
        <v>21</v>
      </c>
      <c r="O5" s="4" t="s">
        <v>22</v>
      </c>
      <c r="P5" s="9" t="s">
        <v>143</v>
      </c>
    </row>
    <row r="6" spans="1:16">
      <c r="A6" s="6" t="s">
        <v>139</v>
      </c>
      <c r="B6" s="3" t="s">
        <v>17</v>
      </c>
      <c r="C6" s="3" t="s">
        <v>26</v>
      </c>
      <c r="D6" s="3">
        <v>4</v>
      </c>
      <c r="E6" s="3">
        <v>1</v>
      </c>
      <c r="F6" s="3" t="s">
        <v>19</v>
      </c>
      <c r="G6" s="3" t="s">
        <v>20</v>
      </c>
      <c r="H6" s="3">
        <v>400</v>
      </c>
      <c r="I6" s="3">
        <v>108.64</v>
      </c>
      <c r="J6" s="3">
        <v>4</v>
      </c>
      <c r="K6" s="3">
        <v>4</v>
      </c>
      <c r="L6" s="3">
        <v>13347.32</v>
      </c>
      <c r="M6" s="3">
        <v>3336.83</v>
      </c>
      <c r="N6" s="3" t="s">
        <v>21</v>
      </c>
      <c r="O6" s="3" t="s">
        <v>22</v>
      </c>
      <c r="P6" s="7" t="s">
        <v>144</v>
      </c>
    </row>
    <row r="7" spans="1:16">
      <c r="A7" s="8" t="s">
        <v>139</v>
      </c>
      <c r="B7" s="4" t="s">
        <v>17</v>
      </c>
      <c r="C7" s="4" t="s">
        <v>26</v>
      </c>
      <c r="D7" s="4">
        <v>16</v>
      </c>
      <c r="E7" s="4">
        <v>1</v>
      </c>
      <c r="F7" s="4" t="s">
        <v>19</v>
      </c>
      <c r="G7" s="4" t="s">
        <v>20</v>
      </c>
      <c r="H7" s="4">
        <v>400</v>
      </c>
      <c r="I7" s="4">
        <v>95.92</v>
      </c>
      <c r="J7" s="4">
        <v>16</v>
      </c>
      <c r="K7" s="4">
        <v>16</v>
      </c>
      <c r="L7" s="4">
        <v>15118.36</v>
      </c>
      <c r="M7" s="4">
        <v>944.9</v>
      </c>
      <c r="N7" s="4" t="s">
        <v>21</v>
      </c>
      <c r="O7" s="4" t="s">
        <v>22</v>
      </c>
      <c r="P7" s="9" t="s">
        <v>145</v>
      </c>
    </row>
    <row r="8" spans="1:16">
      <c r="A8" s="6" t="s">
        <v>139</v>
      </c>
      <c r="B8" s="3" t="s">
        <v>30</v>
      </c>
      <c r="C8" s="3" t="s">
        <v>18</v>
      </c>
      <c r="D8" s="3">
        <v>1</v>
      </c>
      <c r="E8" s="3">
        <v>1</v>
      </c>
      <c r="F8" s="3" t="s">
        <v>19</v>
      </c>
      <c r="G8" s="3" t="s">
        <v>20</v>
      </c>
      <c r="H8" s="3">
        <v>400</v>
      </c>
      <c r="I8" s="3">
        <v>522.28</v>
      </c>
      <c r="J8" s="3">
        <v>1</v>
      </c>
      <c r="K8" s="3">
        <v>1</v>
      </c>
      <c r="L8" s="3">
        <v>2776.47</v>
      </c>
      <c r="M8" s="3">
        <v>2776.47</v>
      </c>
      <c r="N8" s="3" t="s">
        <v>21</v>
      </c>
      <c r="O8" s="3" t="s">
        <v>22</v>
      </c>
      <c r="P8" s="7" t="s">
        <v>146</v>
      </c>
    </row>
    <row r="9" spans="1:16">
      <c r="A9" s="8" t="s">
        <v>139</v>
      </c>
      <c r="B9" s="4" t="s">
        <v>30</v>
      </c>
      <c r="C9" s="4" t="s">
        <v>18</v>
      </c>
      <c r="D9" s="4">
        <v>4</v>
      </c>
      <c r="E9" s="4">
        <v>1</v>
      </c>
      <c r="F9" s="4" t="s">
        <v>19</v>
      </c>
      <c r="G9" s="4" t="s">
        <v>20</v>
      </c>
      <c r="H9" s="4">
        <v>400</v>
      </c>
      <c r="I9" s="4">
        <v>133.71</v>
      </c>
      <c r="J9" s="4">
        <v>4</v>
      </c>
      <c r="K9" s="4">
        <v>4</v>
      </c>
      <c r="L9" s="4">
        <v>10845.39</v>
      </c>
      <c r="M9" s="4">
        <v>2711.35</v>
      </c>
      <c r="N9" s="4" t="s">
        <v>21</v>
      </c>
      <c r="O9" s="4" t="s">
        <v>22</v>
      </c>
      <c r="P9" s="9" t="s">
        <v>147</v>
      </c>
    </row>
    <row r="10" spans="1:16">
      <c r="A10" s="6" t="s">
        <v>139</v>
      </c>
      <c r="B10" s="3" t="s">
        <v>30</v>
      </c>
      <c r="C10" s="3" t="s">
        <v>18</v>
      </c>
      <c r="D10" s="3">
        <v>16</v>
      </c>
      <c r="E10" s="3">
        <v>1</v>
      </c>
      <c r="F10" s="3" t="s">
        <v>19</v>
      </c>
      <c r="G10" s="3" t="s">
        <v>20</v>
      </c>
      <c r="H10" s="3">
        <v>400</v>
      </c>
      <c r="I10" s="3">
        <v>101.36</v>
      </c>
      <c r="J10" s="3">
        <v>16</v>
      </c>
      <c r="K10" s="3">
        <v>16</v>
      </c>
      <c r="L10" s="3">
        <v>14306.47</v>
      </c>
      <c r="M10" s="3">
        <v>894.15</v>
      </c>
      <c r="N10" s="3" t="s">
        <v>21</v>
      </c>
      <c r="O10" s="3" t="s">
        <v>22</v>
      </c>
      <c r="P10" s="7" t="s">
        <v>148</v>
      </c>
    </row>
    <row r="11" spans="1:16">
      <c r="A11" s="8" t="s">
        <v>139</v>
      </c>
      <c r="B11" s="4" t="s">
        <v>30</v>
      </c>
      <c r="C11" s="4" t="s">
        <v>26</v>
      </c>
      <c r="D11" s="4">
        <v>1</v>
      </c>
      <c r="E11" s="4">
        <v>1</v>
      </c>
      <c r="F11" s="4" t="s">
        <v>19</v>
      </c>
      <c r="G11" s="4" t="s">
        <v>20</v>
      </c>
      <c r="H11" s="4">
        <v>400</v>
      </c>
      <c r="I11" s="4">
        <v>519.23</v>
      </c>
      <c r="J11" s="4">
        <v>1</v>
      </c>
      <c r="K11" s="4">
        <v>1</v>
      </c>
      <c r="L11" s="4">
        <v>2792.78</v>
      </c>
      <c r="M11" s="4">
        <v>2792.78</v>
      </c>
      <c r="N11" s="4" t="s">
        <v>21</v>
      </c>
      <c r="O11" s="4" t="s">
        <v>22</v>
      </c>
      <c r="P11" s="9" t="s">
        <v>149</v>
      </c>
    </row>
    <row r="12" spans="1:16">
      <c r="A12" s="6" t="s">
        <v>139</v>
      </c>
      <c r="B12" s="3" t="s">
        <v>30</v>
      </c>
      <c r="C12" s="3" t="s">
        <v>26</v>
      </c>
      <c r="D12" s="3">
        <v>4</v>
      </c>
      <c r="E12" s="3">
        <v>1</v>
      </c>
      <c r="F12" s="3" t="s">
        <v>19</v>
      </c>
      <c r="G12" s="3" t="s">
        <v>20</v>
      </c>
      <c r="H12" s="3">
        <v>400</v>
      </c>
      <c r="I12" s="3">
        <v>133.68</v>
      </c>
      <c r="J12" s="3">
        <v>4</v>
      </c>
      <c r="K12" s="3">
        <v>4</v>
      </c>
      <c r="L12" s="3">
        <v>10847.36</v>
      </c>
      <c r="M12" s="3">
        <v>2711.84</v>
      </c>
      <c r="N12" s="3" t="s">
        <v>21</v>
      </c>
      <c r="O12" s="3" t="s">
        <v>22</v>
      </c>
      <c r="P12" s="7" t="s">
        <v>150</v>
      </c>
    </row>
    <row r="13" spans="1:16">
      <c r="A13" s="8" t="s">
        <v>139</v>
      </c>
      <c r="B13" s="4" t="s">
        <v>30</v>
      </c>
      <c r="C13" s="4" t="s">
        <v>26</v>
      </c>
      <c r="D13" s="4">
        <v>16</v>
      </c>
      <c r="E13" s="4">
        <v>1</v>
      </c>
      <c r="F13" s="4" t="s">
        <v>19</v>
      </c>
      <c r="G13" s="4" t="s">
        <v>20</v>
      </c>
      <c r="H13" s="4">
        <v>400</v>
      </c>
      <c r="I13" s="4">
        <v>102.91</v>
      </c>
      <c r="J13" s="4">
        <v>16</v>
      </c>
      <c r="K13" s="4">
        <v>16</v>
      </c>
      <c r="L13" s="4">
        <v>14091.34</v>
      </c>
      <c r="M13" s="4">
        <v>880.71</v>
      </c>
      <c r="N13" s="4" t="s">
        <v>21</v>
      </c>
      <c r="O13" s="4" t="s">
        <v>22</v>
      </c>
      <c r="P13" s="9" t="s">
        <v>151</v>
      </c>
    </row>
    <row r="20" spans="1:16">
      <c r="A20" s="4" t="s">
        <v>155</v>
      </c>
      <c r="B20" s="4" t="s">
        <v>26</v>
      </c>
      <c r="C20" s="4">
        <v>1</v>
      </c>
      <c r="D20" s="4">
        <v>3370.46</v>
      </c>
      <c r="E20" s="3" t="s">
        <v>154</v>
      </c>
      <c r="F20" s="3" t="s">
        <v>18</v>
      </c>
      <c r="G20" s="3">
        <v>1</v>
      </c>
      <c r="H20" s="3">
        <v>3417.4</v>
      </c>
      <c r="I20" s="3" t="s">
        <v>153</v>
      </c>
      <c r="J20" s="4" t="s">
        <v>26</v>
      </c>
      <c r="K20" s="4">
        <v>1</v>
      </c>
      <c r="L20" s="4">
        <v>2792.78</v>
      </c>
      <c r="M20" s="3" t="s">
        <v>152</v>
      </c>
      <c r="N20" s="3" t="s">
        <v>18</v>
      </c>
      <c r="O20" s="3">
        <v>1</v>
      </c>
      <c r="P20" s="3">
        <v>2776.47</v>
      </c>
    </row>
    <row r="21" spans="1:16">
      <c r="A21" s="4" t="s">
        <v>155</v>
      </c>
      <c r="B21" s="3" t="s">
        <v>26</v>
      </c>
      <c r="C21" s="3">
        <v>4</v>
      </c>
      <c r="D21" s="3">
        <v>13347.32</v>
      </c>
      <c r="E21" s="3" t="s">
        <v>154</v>
      </c>
      <c r="F21" s="4" t="s">
        <v>18</v>
      </c>
      <c r="G21" s="4">
        <v>4</v>
      </c>
      <c r="H21" s="4">
        <v>13376.61</v>
      </c>
      <c r="I21" s="3" t="s">
        <v>153</v>
      </c>
      <c r="J21" s="3" t="s">
        <v>26</v>
      </c>
      <c r="K21" s="3">
        <v>4</v>
      </c>
      <c r="L21" s="3">
        <v>10847.36</v>
      </c>
      <c r="M21" s="3" t="s">
        <v>152</v>
      </c>
      <c r="N21" s="4" t="s">
        <v>18</v>
      </c>
      <c r="O21" s="4">
        <v>4</v>
      </c>
      <c r="P21" s="4">
        <v>10845.39</v>
      </c>
    </row>
    <row r="22" spans="1:16">
      <c r="A22" s="4" t="s">
        <v>155</v>
      </c>
      <c r="B22" s="4" t="s">
        <v>26</v>
      </c>
      <c r="C22" s="4">
        <v>16</v>
      </c>
      <c r="D22" s="4">
        <v>15118.36</v>
      </c>
      <c r="E22" s="3" t="s">
        <v>154</v>
      </c>
      <c r="F22" s="3" t="s">
        <v>18</v>
      </c>
      <c r="G22" s="3">
        <v>16</v>
      </c>
      <c r="H22" s="3">
        <v>14735.63</v>
      </c>
      <c r="I22" s="3" t="s">
        <v>153</v>
      </c>
      <c r="J22" s="4" t="s">
        <v>26</v>
      </c>
      <c r="K22" s="4">
        <v>16</v>
      </c>
      <c r="L22" s="4">
        <v>14091.34</v>
      </c>
      <c r="M22" s="3" t="s">
        <v>152</v>
      </c>
      <c r="N22" s="3" t="s">
        <v>18</v>
      </c>
      <c r="O22" s="3">
        <v>16</v>
      </c>
      <c r="P22" s="3">
        <v>14306.47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0126-D6E4-5F46-B31A-0CA1DD89A6C7}">
  <dimension ref="A1:P121"/>
  <sheetViews>
    <sheetView workbookViewId="0">
      <selection activeCell="D148" sqref="D148"/>
    </sheetView>
  </sheetViews>
  <sheetFormatPr baseColWidth="10" defaultRowHeight="20"/>
  <cols>
    <col min="1" max="1" width="13.140625" bestFit="1" customWidth="1"/>
    <col min="2" max="2" width="14.140625" bestFit="1" customWidth="1"/>
    <col min="3" max="3" width="12.5703125" bestFit="1" customWidth="1"/>
    <col min="4" max="4" width="12.140625" bestFit="1" customWidth="1"/>
    <col min="5" max="5" width="6.5703125" bestFit="1" customWidth="1"/>
    <col min="6" max="6" width="8" bestFit="1" customWidth="1"/>
    <col min="7" max="7" width="13.42578125" bestFit="1" customWidth="1"/>
    <col min="8" max="8" width="11.7109375" bestFit="1" customWidth="1"/>
    <col min="9" max="9" width="15.140625" bestFit="1" customWidth="1"/>
    <col min="10" max="10" width="17.140625" bestFit="1" customWidth="1"/>
    <col min="11" max="11" width="18.28515625" bestFit="1" customWidth="1"/>
    <col min="12" max="12" width="13" bestFit="1" customWidth="1"/>
    <col min="13" max="13" width="19.5703125" bestFit="1" customWidth="1"/>
    <col min="14" max="14" width="25.28515625" bestFit="1" customWidth="1"/>
    <col min="15" max="15" width="13.140625" bestFit="1" customWidth="1"/>
    <col min="16" max="16" width="80.57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>
      <c r="A2" t="s">
        <v>16</v>
      </c>
      <c r="B2" t="s">
        <v>17</v>
      </c>
      <c r="C2" t="s">
        <v>18</v>
      </c>
      <c r="D2">
        <v>1</v>
      </c>
      <c r="E2">
        <v>1</v>
      </c>
      <c r="F2" t="s">
        <v>19</v>
      </c>
      <c r="G2" t="s">
        <v>20</v>
      </c>
      <c r="H2">
        <v>200</v>
      </c>
      <c r="I2">
        <v>637.70000000000005</v>
      </c>
      <c r="J2">
        <v>1</v>
      </c>
      <c r="K2">
        <v>1</v>
      </c>
      <c r="L2">
        <v>4494.71</v>
      </c>
      <c r="M2">
        <v>4494.71</v>
      </c>
      <c r="N2" t="s">
        <v>21</v>
      </c>
      <c r="O2" t="s">
        <v>22</v>
      </c>
      <c r="P2" t="s">
        <v>23</v>
      </c>
    </row>
    <row r="3" spans="1:16" hidden="1">
      <c r="A3" t="s">
        <v>16</v>
      </c>
      <c r="B3" t="s">
        <v>17</v>
      </c>
      <c r="C3" t="s">
        <v>18</v>
      </c>
      <c r="D3">
        <v>4</v>
      </c>
      <c r="E3">
        <v>1</v>
      </c>
      <c r="F3" t="s">
        <v>19</v>
      </c>
      <c r="G3" t="s">
        <v>20</v>
      </c>
      <c r="H3">
        <v>200</v>
      </c>
      <c r="I3">
        <v>165.36</v>
      </c>
      <c r="J3">
        <v>4</v>
      </c>
      <c r="K3">
        <v>4</v>
      </c>
      <c r="L3">
        <v>17333.650000000001</v>
      </c>
      <c r="M3">
        <v>4333.41</v>
      </c>
      <c r="N3" t="s">
        <v>21</v>
      </c>
      <c r="O3" t="s">
        <v>22</v>
      </c>
      <c r="P3" t="s">
        <v>24</v>
      </c>
    </row>
    <row r="4" spans="1:16" hidden="1">
      <c r="A4" t="s">
        <v>16</v>
      </c>
      <c r="B4" t="s">
        <v>17</v>
      </c>
      <c r="C4" t="s">
        <v>18</v>
      </c>
      <c r="D4">
        <v>16</v>
      </c>
      <c r="E4">
        <v>1</v>
      </c>
      <c r="F4" t="s">
        <v>19</v>
      </c>
      <c r="G4" t="s">
        <v>20</v>
      </c>
      <c r="H4">
        <v>200</v>
      </c>
      <c r="I4">
        <v>74.010000000000005</v>
      </c>
      <c r="J4">
        <v>16</v>
      </c>
      <c r="K4">
        <v>16</v>
      </c>
      <c r="L4">
        <v>38729.1</v>
      </c>
      <c r="M4">
        <v>2420.5700000000002</v>
      </c>
      <c r="N4" t="s">
        <v>21</v>
      </c>
      <c r="O4" t="s">
        <v>22</v>
      </c>
      <c r="P4" t="s">
        <v>25</v>
      </c>
    </row>
    <row r="5" spans="1:16" hidden="1">
      <c r="A5" t="s">
        <v>16</v>
      </c>
      <c r="B5" t="s">
        <v>17</v>
      </c>
      <c r="C5" t="s">
        <v>26</v>
      </c>
      <c r="D5">
        <v>1</v>
      </c>
      <c r="E5">
        <v>1</v>
      </c>
      <c r="F5" t="s">
        <v>19</v>
      </c>
      <c r="G5" t="s">
        <v>20</v>
      </c>
      <c r="H5">
        <v>200</v>
      </c>
      <c r="I5">
        <v>637.53</v>
      </c>
      <c r="J5">
        <v>1</v>
      </c>
      <c r="K5">
        <v>1</v>
      </c>
      <c r="L5">
        <v>4495.8900000000003</v>
      </c>
      <c r="M5">
        <v>4495.8900000000003</v>
      </c>
      <c r="N5" t="s">
        <v>21</v>
      </c>
      <c r="O5" t="s">
        <v>22</v>
      </c>
      <c r="P5" t="s">
        <v>27</v>
      </c>
    </row>
    <row r="6" spans="1:16" hidden="1">
      <c r="A6" t="s">
        <v>16</v>
      </c>
      <c r="B6" t="s">
        <v>17</v>
      </c>
      <c r="C6" t="s">
        <v>26</v>
      </c>
      <c r="D6">
        <v>4</v>
      </c>
      <c r="E6">
        <v>1</v>
      </c>
      <c r="F6" t="s">
        <v>19</v>
      </c>
      <c r="G6" t="s">
        <v>20</v>
      </c>
      <c r="H6">
        <v>200</v>
      </c>
      <c r="I6">
        <v>163.68</v>
      </c>
      <c r="J6">
        <v>4</v>
      </c>
      <c r="K6">
        <v>4</v>
      </c>
      <c r="L6">
        <v>17511.150000000001</v>
      </c>
      <c r="M6">
        <v>4377.79</v>
      </c>
      <c r="N6" t="s">
        <v>21</v>
      </c>
      <c r="O6" t="s">
        <v>22</v>
      </c>
      <c r="P6" t="s">
        <v>28</v>
      </c>
    </row>
    <row r="7" spans="1:16" hidden="1">
      <c r="A7" t="s">
        <v>16</v>
      </c>
      <c r="B7" t="s">
        <v>17</v>
      </c>
      <c r="C7" t="s">
        <v>26</v>
      </c>
      <c r="D7">
        <v>16</v>
      </c>
      <c r="E7">
        <v>1</v>
      </c>
      <c r="F7" t="s">
        <v>19</v>
      </c>
      <c r="G7" t="s">
        <v>20</v>
      </c>
      <c r="H7">
        <v>200</v>
      </c>
      <c r="I7">
        <v>72</v>
      </c>
      <c r="J7">
        <v>16</v>
      </c>
      <c r="K7">
        <v>16</v>
      </c>
      <c r="L7">
        <v>39810.89</v>
      </c>
      <c r="M7">
        <v>2488.1799999999998</v>
      </c>
      <c r="N7" t="s">
        <v>21</v>
      </c>
      <c r="O7" t="s">
        <v>22</v>
      </c>
      <c r="P7" t="s">
        <v>29</v>
      </c>
    </row>
    <row r="8" spans="1:16" hidden="1">
      <c r="A8" t="s">
        <v>16</v>
      </c>
      <c r="B8" t="s">
        <v>30</v>
      </c>
      <c r="C8" t="s">
        <v>18</v>
      </c>
      <c r="D8">
        <v>1</v>
      </c>
      <c r="E8">
        <v>1</v>
      </c>
      <c r="F8" t="s">
        <v>19</v>
      </c>
      <c r="G8" t="s">
        <v>20</v>
      </c>
      <c r="H8">
        <v>200</v>
      </c>
      <c r="I8">
        <v>853.55</v>
      </c>
      <c r="J8">
        <v>1</v>
      </c>
      <c r="K8">
        <v>1</v>
      </c>
      <c r="L8">
        <v>3358.07</v>
      </c>
      <c r="M8">
        <v>3358.07</v>
      </c>
      <c r="N8" t="s">
        <v>21</v>
      </c>
      <c r="O8" t="s">
        <v>22</v>
      </c>
      <c r="P8" t="s">
        <v>31</v>
      </c>
    </row>
    <row r="9" spans="1:16" hidden="1">
      <c r="A9" t="s">
        <v>16</v>
      </c>
      <c r="B9" t="s">
        <v>30</v>
      </c>
      <c r="C9" t="s">
        <v>18</v>
      </c>
      <c r="D9">
        <v>4</v>
      </c>
      <c r="E9">
        <v>1</v>
      </c>
      <c r="F9" t="s">
        <v>19</v>
      </c>
      <c r="G9" t="s">
        <v>20</v>
      </c>
      <c r="H9">
        <v>200</v>
      </c>
      <c r="I9">
        <v>229.03</v>
      </c>
      <c r="J9">
        <v>4</v>
      </c>
      <c r="K9">
        <v>4</v>
      </c>
      <c r="L9">
        <v>12514.79</v>
      </c>
      <c r="M9">
        <v>3128.7</v>
      </c>
      <c r="N9" t="s">
        <v>21</v>
      </c>
      <c r="O9" t="s">
        <v>22</v>
      </c>
      <c r="P9" t="s">
        <v>32</v>
      </c>
    </row>
    <row r="10" spans="1:16" hidden="1">
      <c r="A10" t="s">
        <v>16</v>
      </c>
      <c r="B10" t="s">
        <v>30</v>
      </c>
      <c r="C10" t="s">
        <v>18</v>
      </c>
      <c r="D10">
        <v>16</v>
      </c>
      <c r="E10">
        <v>1</v>
      </c>
      <c r="F10" t="s">
        <v>19</v>
      </c>
      <c r="G10" t="s">
        <v>20</v>
      </c>
      <c r="H10">
        <v>200</v>
      </c>
      <c r="I10">
        <v>93.4</v>
      </c>
      <c r="J10">
        <v>16</v>
      </c>
      <c r="K10">
        <v>16</v>
      </c>
      <c r="L10">
        <v>30687.3</v>
      </c>
      <c r="M10">
        <v>1917.96</v>
      </c>
      <c r="N10" t="s">
        <v>21</v>
      </c>
      <c r="O10" t="s">
        <v>22</v>
      </c>
      <c r="P10" t="s">
        <v>33</v>
      </c>
    </row>
    <row r="11" spans="1:16" hidden="1">
      <c r="A11" t="s">
        <v>16</v>
      </c>
      <c r="B11" t="s">
        <v>30</v>
      </c>
      <c r="C11" t="s">
        <v>26</v>
      </c>
      <c r="D11">
        <v>1</v>
      </c>
      <c r="E11">
        <v>1</v>
      </c>
      <c r="F11" t="s">
        <v>19</v>
      </c>
      <c r="G11" t="s">
        <v>20</v>
      </c>
      <c r="H11">
        <v>200</v>
      </c>
      <c r="I11">
        <v>856.4</v>
      </c>
      <c r="J11">
        <v>1</v>
      </c>
      <c r="K11">
        <v>1</v>
      </c>
      <c r="L11">
        <v>3346.9</v>
      </c>
      <c r="M11">
        <v>3346.9</v>
      </c>
      <c r="N11" t="s">
        <v>21</v>
      </c>
      <c r="O11" t="s">
        <v>22</v>
      </c>
      <c r="P11" t="s">
        <v>34</v>
      </c>
    </row>
    <row r="12" spans="1:16" hidden="1">
      <c r="A12" t="s">
        <v>16</v>
      </c>
      <c r="B12" t="s">
        <v>30</v>
      </c>
      <c r="C12" t="s">
        <v>26</v>
      </c>
      <c r="D12">
        <v>4</v>
      </c>
      <c r="E12">
        <v>1</v>
      </c>
      <c r="F12" t="s">
        <v>19</v>
      </c>
      <c r="G12" t="s">
        <v>20</v>
      </c>
      <c r="H12">
        <v>200</v>
      </c>
      <c r="I12">
        <v>220.22</v>
      </c>
      <c r="J12">
        <v>4</v>
      </c>
      <c r="K12">
        <v>4</v>
      </c>
      <c r="L12">
        <v>13015.81</v>
      </c>
      <c r="M12">
        <v>3253.95</v>
      </c>
      <c r="N12" t="s">
        <v>21</v>
      </c>
      <c r="O12" t="s">
        <v>22</v>
      </c>
      <c r="P12" t="s">
        <v>35</v>
      </c>
    </row>
    <row r="13" spans="1:16" hidden="1">
      <c r="A13" t="s">
        <v>16</v>
      </c>
      <c r="B13" t="s">
        <v>30</v>
      </c>
      <c r="C13" t="s">
        <v>26</v>
      </c>
      <c r="D13">
        <v>16</v>
      </c>
      <c r="E13">
        <v>1</v>
      </c>
      <c r="F13" t="s">
        <v>19</v>
      </c>
      <c r="G13" t="s">
        <v>20</v>
      </c>
      <c r="H13">
        <v>200</v>
      </c>
      <c r="I13">
        <v>90.74</v>
      </c>
      <c r="J13">
        <v>16</v>
      </c>
      <c r="K13">
        <v>16</v>
      </c>
      <c r="L13">
        <v>31589.119999999999</v>
      </c>
      <c r="M13">
        <v>1974.32</v>
      </c>
      <c r="N13" t="s">
        <v>21</v>
      </c>
      <c r="O13" t="s">
        <v>22</v>
      </c>
      <c r="P13" t="s">
        <v>36</v>
      </c>
    </row>
    <row r="14" spans="1:16" hidden="1">
      <c r="A14" t="s">
        <v>37</v>
      </c>
      <c r="B14" t="s">
        <v>17</v>
      </c>
      <c r="C14" t="s">
        <v>18</v>
      </c>
      <c r="D14">
        <v>1</v>
      </c>
      <c r="E14">
        <v>1</v>
      </c>
      <c r="F14" t="s">
        <v>19</v>
      </c>
      <c r="G14" t="s">
        <v>38</v>
      </c>
      <c r="H14">
        <v>75</v>
      </c>
      <c r="I14">
        <v>122.81</v>
      </c>
      <c r="J14">
        <v>1</v>
      </c>
      <c r="K14">
        <v>1</v>
      </c>
      <c r="L14">
        <v>1167.25</v>
      </c>
      <c r="M14">
        <v>1167.25</v>
      </c>
      <c r="N14" t="s">
        <v>21</v>
      </c>
      <c r="O14" t="s">
        <v>22</v>
      </c>
      <c r="P14" t="s">
        <v>39</v>
      </c>
    </row>
    <row r="15" spans="1:16" hidden="1">
      <c r="A15" t="s">
        <v>37</v>
      </c>
      <c r="B15" t="s">
        <v>17</v>
      </c>
      <c r="C15" t="s">
        <v>18</v>
      </c>
      <c r="D15">
        <v>2</v>
      </c>
      <c r="E15">
        <v>1</v>
      </c>
      <c r="F15" t="s">
        <v>19</v>
      </c>
      <c r="G15" t="s">
        <v>38</v>
      </c>
      <c r="H15">
        <v>75</v>
      </c>
      <c r="I15">
        <v>47.65</v>
      </c>
      <c r="J15">
        <v>2</v>
      </c>
      <c r="K15">
        <v>2</v>
      </c>
      <c r="L15">
        <v>3008.37</v>
      </c>
      <c r="M15">
        <v>1504.18</v>
      </c>
      <c r="N15" t="s">
        <v>21</v>
      </c>
      <c r="O15" t="s">
        <v>22</v>
      </c>
      <c r="P15" t="s">
        <v>40</v>
      </c>
    </row>
    <row r="16" spans="1:16" hidden="1">
      <c r="A16" t="s">
        <v>37</v>
      </c>
      <c r="B16" t="s">
        <v>17</v>
      </c>
      <c r="C16" t="s">
        <v>18</v>
      </c>
      <c r="D16">
        <v>4</v>
      </c>
      <c r="E16">
        <v>1</v>
      </c>
      <c r="F16" t="s">
        <v>19</v>
      </c>
      <c r="G16" t="s">
        <v>38</v>
      </c>
      <c r="H16">
        <v>75</v>
      </c>
      <c r="I16">
        <v>27.15</v>
      </c>
      <c r="J16">
        <v>4</v>
      </c>
      <c r="K16">
        <v>4</v>
      </c>
      <c r="L16">
        <v>5279.09</v>
      </c>
      <c r="M16">
        <v>1319.77</v>
      </c>
      <c r="N16" t="s">
        <v>21</v>
      </c>
      <c r="O16" t="s">
        <v>22</v>
      </c>
      <c r="P16" t="s">
        <v>41</v>
      </c>
    </row>
    <row r="17" spans="1:16" hidden="1">
      <c r="A17" t="s">
        <v>37</v>
      </c>
      <c r="B17" t="s">
        <v>17</v>
      </c>
      <c r="C17" t="s">
        <v>18</v>
      </c>
      <c r="D17">
        <v>8</v>
      </c>
      <c r="E17">
        <v>1</v>
      </c>
      <c r="F17" t="s">
        <v>19</v>
      </c>
      <c r="G17" t="s">
        <v>38</v>
      </c>
      <c r="H17">
        <v>75</v>
      </c>
      <c r="I17">
        <v>42.3</v>
      </c>
      <c r="J17">
        <v>8</v>
      </c>
      <c r="K17">
        <v>8</v>
      </c>
      <c r="L17">
        <v>3388.63</v>
      </c>
      <c r="M17">
        <v>423.58</v>
      </c>
      <c r="N17" t="s">
        <v>21</v>
      </c>
      <c r="O17" t="s">
        <v>22</v>
      </c>
      <c r="P17" t="s">
        <v>42</v>
      </c>
    </row>
    <row r="18" spans="1:16" hidden="1">
      <c r="A18" t="s">
        <v>37</v>
      </c>
      <c r="B18" t="s">
        <v>17</v>
      </c>
      <c r="C18" t="s">
        <v>26</v>
      </c>
      <c r="D18">
        <v>1</v>
      </c>
      <c r="E18">
        <v>1</v>
      </c>
      <c r="F18" t="s">
        <v>19</v>
      </c>
      <c r="G18" t="s">
        <v>38</v>
      </c>
      <c r="H18">
        <v>75</v>
      </c>
      <c r="I18">
        <v>121.09</v>
      </c>
      <c r="J18">
        <v>1</v>
      </c>
      <c r="K18">
        <v>1</v>
      </c>
      <c r="L18">
        <v>1183.81</v>
      </c>
      <c r="M18">
        <v>1183.81</v>
      </c>
      <c r="N18" t="s">
        <v>21</v>
      </c>
      <c r="O18" t="s">
        <v>22</v>
      </c>
      <c r="P18" t="s">
        <v>43</v>
      </c>
    </row>
    <row r="19" spans="1:16" hidden="1">
      <c r="A19" t="s">
        <v>37</v>
      </c>
      <c r="B19" t="s">
        <v>17</v>
      </c>
      <c r="C19" t="s">
        <v>26</v>
      </c>
      <c r="D19">
        <v>2</v>
      </c>
      <c r="E19">
        <v>1</v>
      </c>
      <c r="F19" t="s">
        <v>19</v>
      </c>
      <c r="G19" t="s">
        <v>38</v>
      </c>
      <c r="H19">
        <v>75</v>
      </c>
      <c r="I19">
        <v>46.35</v>
      </c>
      <c r="J19">
        <v>2</v>
      </c>
      <c r="K19">
        <v>2</v>
      </c>
      <c r="L19">
        <v>3092.68</v>
      </c>
      <c r="M19">
        <v>1546.34</v>
      </c>
      <c r="N19" t="s">
        <v>21</v>
      </c>
      <c r="O19" t="s">
        <v>22</v>
      </c>
      <c r="P19" t="s">
        <v>44</v>
      </c>
    </row>
    <row r="20" spans="1:16" hidden="1">
      <c r="A20" t="s">
        <v>37</v>
      </c>
      <c r="B20" t="s">
        <v>17</v>
      </c>
      <c r="C20" t="s">
        <v>26</v>
      </c>
      <c r="D20">
        <v>4</v>
      </c>
      <c r="E20">
        <v>1</v>
      </c>
      <c r="F20" t="s">
        <v>19</v>
      </c>
      <c r="G20" t="s">
        <v>38</v>
      </c>
      <c r="H20">
        <v>75</v>
      </c>
      <c r="I20">
        <v>26.87</v>
      </c>
      <c r="J20">
        <v>4</v>
      </c>
      <c r="K20">
        <v>4</v>
      </c>
      <c r="L20">
        <v>5335.74</v>
      </c>
      <c r="M20">
        <v>1333.94</v>
      </c>
      <c r="N20" t="s">
        <v>21</v>
      </c>
      <c r="O20" t="s">
        <v>22</v>
      </c>
      <c r="P20" t="s">
        <v>45</v>
      </c>
    </row>
    <row r="21" spans="1:16" hidden="1">
      <c r="A21" t="s">
        <v>37</v>
      </c>
      <c r="B21" t="s">
        <v>17</v>
      </c>
      <c r="C21" t="s">
        <v>26</v>
      </c>
      <c r="D21">
        <v>8</v>
      </c>
      <c r="E21">
        <v>1</v>
      </c>
      <c r="F21" t="s">
        <v>19</v>
      </c>
      <c r="G21" t="s">
        <v>38</v>
      </c>
      <c r="H21">
        <v>75</v>
      </c>
      <c r="I21">
        <v>41.76</v>
      </c>
      <c r="J21">
        <v>8</v>
      </c>
      <c r="K21">
        <v>8</v>
      </c>
      <c r="L21">
        <v>3432.55</v>
      </c>
      <c r="M21">
        <v>429.07</v>
      </c>
      <c r="N21" t="s">
        <v>21</v>
      </c>
      <c r="O21" t="s">
        <v>22</v>
      </c>
      <c r="P21" t="s">
        <v>46</v>
      </c>
    </row>
    <row r="22" spans="1:16" hidden="1">
      <c r="A22" t="s">
        <v>37</v>
      </c>
      <c r="B22" t="s">
        <v>30</v>
      </c>
      <c r="C22" t="s">
        <v>18</v>
      </c>
      <c r="D22">
        <v>1</v>
      </c>
      <c r="E22">
        <v>1</v>
      </c>
      <c r="F22" t="s">
        <v>19</v>
      </c>
      <c r="G22" t="s">
        <v>38</v>
      </c>
      <c r="H22">
        <v>75</v>
      </c>
      <c r="I22">
        <v>138.44999999999999</v>
      </c>
      <c r="J22">
        <v>1</v>
      </c>
      <c r="K22">
        <v>1</v>
      </c>
      <c r="L22">
        <v>1035.3399999999999</v>
      </c>
      <c r="M22">
        <v>1035.3399999999999</v>
      </c>
      <c r="N22" t="s">
        <v>21</v>
      </c>
      <c r="O22" t="s">
        <v>22</v>
      </c>
      <c r="P22" t="s">
        <v>47</v>
      </c>
    </row>
    <row r="23" spans="1:16" hidden="1">
      <c r="A23" t="s">
        <v>37</v>
      </c>
      <c r="B23" t="s">
        <v>30</v>
      </c>
      <c r="C23" t="s">
        <v>18</v>
      </c>
      <c r="D23">
        <v>1</v>
      </c>
      <c r="E23">
        <v>2</v>
      </c>
      <c r="F23" t="s">
        <v>19</v>
      </c>
      <c r="G23" t="s">
        <v>38</v>
      </c>
      <c r="H23">
        <v>75</v>
      </c>
      <c r="I23">
        <v>137.93</v>
      </c>
      <c r="J23">
        <v>1</v>
      </c>
      <c r="K23">
        <v>1</v>
      </c>
      <c r="L23">
        <v>1039.3</v>
      </c>
      <c r="M23">
        <v>1039.3</v>
      </c>
      <c r="N23" t="s">
        <v>21</v>
      </c>
      <c r="O23" t="s">
        <v>22</v>
      </c>
      <c r="P23" t="s">
        <v>48</v>
      </c>
    </row>
    <row r="24" spans="1:16" hidden="1">
      <c r="A24" t="s">
        <v>37</v>
      </c>
      <c r="B24" t="s">
        <v>30</v>
      </c>
      <c r="C24" t="s">
        <v>18</v>
      </c>
      <c r="D24">
        <v>1</v>
      </c>
      <c r="E24">
        <v>3</v>
      </c>
      <c r="F24" t="s">
        <v>19</v>
      </c>
      <c r="G24" t="s">
        <v>38</v>
      </c>
      <c r="H24">
        <v>75</v>
      </c>
      <c r="I24">
        <v>137.93</v>
      </c>
      <c r="J24">
        <v>1</v>
      </c>
      <c r="K24">
        <v>1</v>
      </c>
      <c r="L24">
        <v>1039.31</v>
      </c>
      <c r="M24">
        <v>1039.31</v>
      </c>
      <c r="N24" t="s">
        <v>21</v>
      </c>
      <c r="O24" t="s">
        <v>22</v>
      </c>
      <c r="P24" t="s">
        <v>49</v>
      </c>
    </row>
    <row r="25" spans="1:16" hidden="1">
      <c r="A25" t="s">
        <v>37</v>
      </c>
      <c r="B25" t="s">
        <v>30</v>
      </c>
      <c r="C25" t="s">
        <v>18</v>
      </c>
      <c r="D25">
        <v>1</v>
      </c>
      <c r="E25">
        <v>4</v>
      </c>
      <c r="F25" t="s">
        <v>19</v>
      </c>
      <c r="G25" t="s">
        <v>38</v>
      </c>
      <c r="H25">
        <v>75</v>
      </c>
      <c r="I25">
        <v>138.13999999999999</v>
      </c>
      <c r="J25">
        <v>1</v>
      </c>
      <c r="K25">
        <v>1</v>
      </c>
      <c r="L25">
        <v>1037.69</v>
      </c>
      <c r="M25">
        <v>1037.69</v>
      </c>
      <c r="N25" t="s">
        <v>21</v>
      </c>
      <c r="O25" t="s">
        <v>22</v>
      </c>
      <c r="P25" t="s">
        <v>50</v>
      </c>
    </row>
    <row r="26" spans="1:16" hidden="1">
      <c r="A26" t="s">
        <v>37</v>
      </c>
      <c r="B26" t="s">
        <v>30</v>
      </c>
      <c r="C26" t="s">
        <v>18</v>
      </c>
      <c r="D26">
        <v>1</v>
      </c>
      <c r="E26">
        <v>5</v>
      </c>
      <c r="F26" t="s">
        <v>19</v>
      </c>
      <c r="G26" t="s">
        <v>38</v>
      </c>
      <c r="H26">
        <v>75</v>
      </c>
      <c r="I26">
        <v>137.93</v>
      </c>
      <c r="J26">
        <v>1</v>
      </c>
      <c r="K26">
        <v>1</v>
      </c>
      <c r="L26">
        <v>1039.31</v>
      </c>
      <c r="M26">
        <v>1039.31</v>
      </c>
      <c r="N26" t="s">
        <v>21</v>
      </c>
      <c r="O26" t="s">
        <v>22</v>
      </c>
      <c r="P26" t="s">
        <v>51</v>
      </c>
    </row>
    <row r="27" spans="1:16" hidden="1">
      <c r="A27" t="s">
        <v>37</v>
      </c>
      <c r="B27" t="s">
        <v>30</v>
      </c>
      <c r="C27" t="s">
        <v>18</v>
      </c>
      <c r="D27">
        <v>2</v>
      </c>
      <c r="E27">
        <v>1</v>
      </c>
      <c r="F27" t="s">
        <v>19</v>
      </c>
      <c r="G27" t="s">
        <v>38</v>
      </c>
      <c r="H27">
        <v>75</v>
      </c>
      <c r="I27">
        <v>60</v>
      </c>
      <c r="J27">
        <v>2</v>
      </c>
      <c r="K27">
        <v>2</v>
      </c>
      <c r="L27">
        <v>2389.3200000000002</v>
      </c>
      <c r="M27">
        <v>1194.6600000000001</v>
      </c>
      <c r="N27" t="s">
        <v>21</v>
      </c>
      <c r="O27" t="s">
        <v>22</v>
      </c>
      <c r="P27" t="s">
        <v>52</v>
      </c>
    </row>
    <row r="28" spans="1:16" hidden="1">
      <c r="A28" t="s">
        <v>37</v>
      </c>
      <c r="B28" t="s">
        <v>30</v>
      </c>
      <c r="C28" t="s">
        <v>18</v>
      </c>
      <c r="D28">
        <v>2</v>
      </c>
      <c r="E28">
        <v>2</v>
      </c>
      <c r="F28" t="s">
        <v>19</v>
      </c>
      <c r="G28" t="s">
        <v>38</v>
      </c>
      <c r="H28">
        <v>75</v>
      </c>
      <c r="I28">
        <v>59.95</v>
      </c>
      <c r="J28">
        <v>2</v>
      </c>
      <c r="K28">
        <v>2</v>
      </c>
      <c r="L28">
        <v>2391.15</v>
      </c>
      <c r="M28">
        <v>1195.57</v>
      </c>
      <c r="N28" t="s">
        <v>21</v>
      </c>
      <c r="O28" t="s">
        <v>22</v>
      </c>
      <c r="P28" t="s">
        <v>53</v>
      </c>
    </row>
    <row r="29" spans="1:16" hidden="1">
      <c r="A29" t="s">
        <v>37</v>
      </c>
      <c r="B29" t="s">
        <v>30</v>
      </c>
      <c r="C29" t="s">
        <v>18</v>
      </c>
      <c r="D29">
        <v>2</v>
      </c>
      <c r="E29">
        <v>3</v>
      </c>
      <c r="F29" t="s">
        <v>19</v>
      </c>
      <c r="G29" t="s">
        <v>38</v>
      </c>
      <c r="H29">
        <v>75</v>
      </c>
      <c r="I29">
        <v>59.94</v>
      </c>
      <c r="J29">
        <v>2</v>
      </c>
      <c r="K29">
        <v>2</v>
      </c>
      <c r="L29">
        <v>2391.56</v>
      </c>
      <c r="M29">
        <v>1195.78</v>
      </c>
      <c r="N29" t="s">
        <v>21</v>
      </c>
      <c r="O29" t="s">
        <v>22</v>
      </c>
      <c r="P29" t="s">
        <v>54</v>
      </c>
    </row>
    <row r="30" spans="1:16" hidden="1">
      <c r="A30" t="s">
        <v>37</v>
      </c>
      <c r="B30" t="s">
        <v>30</v>
      </c>
      <c r="C30" t="s">
        <v>18</v>
      </c>
      <c r="D30">
        <v>2</v>
      </c>
      <c r="E30">
        <v>4</v>
      </c>
      <c r="F30" t="s">
        <v>19</v>
      </c>
      <c r="G30" t="s">
        <v>38</v>
      </c>
      <c r="H30">
        <v>75</v>
      </c>
      <c r="I30">
        <v>60.02</v>
      </c>
      <c r="J30">
        <v>2</v>
      </c>
      <c r="K30">
        <v>2</v>
      </c>
      <c r="L30">
        <v>2388.36</v>
      </c>
      <c r="M30">
        <v>1194.18</v>
      </c>
      <c r="N30" t="s">
        <v>21</v>
      </c>
      <c r="O30" t="s">
        <v>22</v>
      </c>
      <c r="P30" t="s">
        <v>55</v>
      </c>
    </row>
    <row r="31" spans="1:16" hidden="1">
      <c r="A31" t="s">
        <v>37</v>
      </c>
      <c r="B31" t="s">
        <v>30</v>
      </c>
      <c r="C31" t="s">
        <v>18</v>
      </c>
      <c r="D31">
        <v>2</v>
      </c>
      <c r="E31">
        <v>5</v>
      </c>
      <c r="F31" t="s">
        <v>19</v>
      </c>
      <c r="G31" t="s">
        <v>38</v>
      </c>
      <c r="H31">
        <v>75</v>
      </c>
      <c r="I31">
        <v>60.64</v>
      </c>
      <c r="J31">
        <v>2</v>
      </c>
      <c r="K31">
        <v>2</v>
      </c>
      <c r="L31">
        <v>2363.88</v>
      </c>
      <c r="M31">
        <v>1181.94</v>
      </c>
      <c r="N31" t="s">
        <v>21</v>
      </c>
      <c r="O31" t="s">
        <v>22</v>
      </c>
      <c r="P31" t="s">
        <v>56</v>
      </c>
    </row>
    <row r="32" spans="1:16" hidden="1">
      <c r="A32" t="s">
        <v>37</v>
      </c>
      <c r="B32" t="s">
        <v>30</v>
      </c>
      <c r="C32" t="s">
        <v>18</v>
      </c>
      <c r="D32">
        <v>4</v>
      </c>
      <c r="E32">
        <v>1</v>
      </c>
      <c r="F32" t="s">
        <v>19</v>
      </c>
      <c r="G32" t="s">
        <v>38</v>
      </c>
      <c r="H32">
        <v>75</v>
      </c>
      <c r="I32">
        <v>36.869999999999997</v>
      </c>
      <c r="J32">
        <v>4</v>
      </c>
      <c r="K32">
        <v>4</v>
      </c>
      <c r="L32">
        <v>3887.71</v>
      </c>
      <c r="M32">
        <v>971.93</v>
      </c>
      <c r="N32" t="s">
        <v>21</v>
      </c>
      <c r="O32" t="s">
        <v>22</v>
      </c>
      <c r="P32" t="s">
        <v>57</v>
      </c>
    </row>
    <row r="33" spans="1:16" hidden="1">
      <c r="A33" t="s">
        <v>37</v>
      </c>
      <c r="B33" t="s">
        <v>30</v>
      </c>
      <c r="C33" t="s">
        <v>18</v>
      </c>
      <c r="D33">
        <v>4</v>
      </c>
      <c r="E33">
        <v>2</v>
      </c>
      <c r="F33" t="s">
        <v>19</v>
      </c>
      <c r="G33" t="s">
        <v>38</v>
      </c>
      <c r="H33">
        <v>75</v>
      </c>
      <c r="I33">
        <v>36.9</v>
      </c>
      <c r="J33">
        <v>4</v>
      </c>
      <c r="K33">
        <v>4</v>
      </c>
      <c r="L33">
        <v>3884.31</v>
      </c>
      <c r="M33">
        <v>971.08</v>
      </c>
      <c r="N33" t="s">
        <v>21</v>
      </c>
      <c r="O33" t="s">
        <v>22</v>
      </c>
      <c r="P33" t="s">
        <v>58</v>
      </c>
    </row>
    <row r="34" spans="1:16" hidden="1">
      <c r="A34" t="s">
        <v>37</v>
      </c>
      <c r="B34" t="s">
        <v>30</v>
      </c>
      <c r="C34" t="s">
        <v>18</v>
      </c>
      <c r="D34">
        <v>4</v>
      </c>
      <c r="E34">
        <v>3</v>
      </c>
      <c r="F34" t="s">
        <v>19</v>
      </c>
      <c r="G34" t="s">
        <v>38</v>
      </c>
      <c r="H34">
        <v>75</v>
      </c>
      <c r="I34">
        <v>36.81</v>
      </c>
      <c r="J34">
        <v>4</v>
      </c>
      <c r="K34">
        <v>4</v>
      </c>
      <c r="L34">
        <v>3894.77</v>
      </c>
      <c r="M34">
        <v>973.69</v>
      </c>
      <c r="N34" t="s">
        <v>21</v>
      </c>
      <c r="O34" t="s">
        <v>22</v>
      </c>
      <c r="P34" t="s">
        <v>59</v>
      </c>
    </row>
    <row r="35" spans="1:16" hidden="1">
      <c r="A35" t="s">
        <v>37</v>
      </c>
      <c r="B35" t="s">
        <v>30</v>
      </c>
      <c r="C35" t="s">
        <v>18</v>
      </c>
      <c r="D35">
        <v>4</v>
      </c>
      <c r="E35">
        <v>4</v>
      </c>
      <c r="F35" t="s">
        <v>19</v>
      </c>
      <c r="G35" t="s">
        <v>38</v>
      </c>
      <c r="H35">
        <v>75</v>
      </c>
      <c r="I35">
        <v>36.909999999999997</v>
      </c>
      <c r="J35">
        <v>4</v>
      </c>
      <c r="K35">
        <v>4</v>
      </c>
      <c r="L35">
        <v>3884.14</v>
      </c>
      <c r="M35">
        <v>971.03</v>
      </c>
      <c r="N35" t="s">
        <v>21</v>
      </c>
      <c r="O35" t="s">
        <v>22</v>
      </c>
      <c r="P35" t="s">
        <v>60</v>
      </c>
    </row>
    <row r="36" spans="1:16" hidden="1">
      <c r="A36" t="s">
        <v>37</v>
      </c>
      <c r="B36" t="s">
        <v>30</v>
      </c>
      <c r="C36" t="s">
        <v>18</v>
      </c>
      <c r="D36">
        <v>4</v>
      </c>
      <c r="E36">
        <v>5</v>
      </c>
      <c r="F36" t="s">
        <v>19</v>
      </c>
      <c r="G36" t="s">
        <v>38</v>
      </c>
      <c r="H36">
        <v>75</v>
      </c>
      <c r="I36">
        <v>36.93</v>
      </c>
      <c r="J36">
        <v>4</v>
      </c>
      <c r="K36">
        <v>4</v>
      </c>
      <c r="L36">
        <v>3881.14</v>
      </c>
      <c r="M36">
        <v>970.28</v>
      </c>
      <c r="N36" t="s">
        <v>21</v>
      </c>
      <c r="O36" t="s">
        <v>22</v>
      </c>
      <c r="P36" t="s">
        <v>61</v>
      </c>
    </row>
    <row r="37" spans="1:16" hidden="1">
      <c r="A37" t="s">
        <v>37</v>
      </c>
      <c r="B37" t="s">
        <v>30</v>
      </c>
      <c r="C37" t="s">
        <v>18</v>
      </c>
      <c r="D37">
        <v>8</v>
      </c>
      <c r="E37">
        <v>1</v>
      </c>
      <c r="F37" t="s">
        <v>19</v>
      </c>
      <c r="G37" t="s">
        <v>38</v>
      </c>
      <c r="H37">
        <v>75</v>
      </c>
      <c r="I37">
        <v>45.87</v>
      </c>
      <c r="J37">
        <v>8</v>
      </c>
      <c r="K37">
        <v>8</v>
      </c>
      <c r="L37">
        <v>3125.38</v>
      </c>
      <c r="M37">
        <v>390.67</v>
      </c>
      <c r="N37" t="s">
        <v>21</v>
      </c>
      <c r="O37" t="s">
        <v>22</v>
      </c>
      <c r="P37" t="s">
        <v>62</v>
      </c>
    </row>
    <row r="38" spans="1:16" hidden="1">
      <c r="A38" t="s">
        <v>37</v>
      </c>
      <c r="B38" t="s">
        <v>30</v>
      </c>
      <c r="C38" t="s">
        <v>18</v>
      </c>
      <c r="D38">
        <v>8</v>
      </c>
      <c r="E38">
        <v>2</v>
      </c>
      <c r="F38" t="s">
        <v>19</v>
      </c>
      <c r="G38" t="s">
        <v>38</v>
      </c>
      <c r="H38">
        <v>75</v>
      </c>
      <c r="I38">
        <v>46.19</v>
      </c>
      <c r="J38">
        <v>8</v>
      </c>
      <c r="K38">
        <v>8</v>
      </c>
      <c r="L38">
        <v>3103.77</v>
      </c>
      <c r="M38">
        <v>387.97</v>
      </c>
      <c r="N38" t="s">
        <v>21</v>
      </c>
      <c r="O38" t="s">
        <v>22</v>
      </c>
      <c r="P38" t="s">
        <v>63</v>
      </c>
    </row>
    <row r="39" spans="1:16" hidden="1">
      <c r="A39" t="s">
        <v>37</v>
      </c>
      <c r="B39" t="s">
        <v>30</v>
      </c>
      <c r="C39" t="s">
        <v>18</v>
      </c>
      <c r="D39">
        <v>8</v>
      </c>
      <c r="E39">
        <v>3</v>
      </c>
      <c r="F39" t="s">
        <v>19</v>
      </c>
      <c r="G39" t="s">
        <v>38</v>
      </c>
      <c r="H39">
        <v>75</v>
      </c>
      <c r="I39">
        <v>46.39</v>
      </c>
      <c r="J39">
        <v>8</v>
      </c>
      <c r="K39">
        <v>8</v>
      </c>
      <c r="L39">
        <v>3089.76</v>
      </c>
      <c r="M39">
        <v>386.22</v>
      </c>
      <c r="N39" t="s">
        <v>21</v>
      </c>
      <c r="O39" t="s">
        <v>22</v>
      </c>
      <c r="P39" t="s">
        <v>64</v>
      </c>
    </row>
    <row r="40" spans="1:16" hidden="1">
      <c r="A40" t="s">
        <v>37</v>
      </c>
      <c r="B40" t="s">
        <v>30</v>
      </c>
      <c r="C40" t="s">
        <v>18</v>
      </c>
      <c r="D40">
        <v>8</v>
      </c>
      <c r="E40">
        <v>4</v>
      </c>
      <c r="F40" t="s">
        <v>19</v>
      </c>
      <c r="G40" t="s">
        <v>38</v>
      </c>
      <c r="H40">
        <v>75</v>
      </c>
      <c r="I40">
        <v>46.04</v>
      </c>
      <c r="J40">
        <v>8</v>
      </c>
      <c r="K40">
        <v>8</v>
      </c>
      <c r="L40">
        <v>3113.41</v>
      </c>
      <c r="M40">
        <v>389.18</v>
      </c>
      <c r="N40" t="s">
        <v>21</v>
      </c>
      <c r="O40" t="s">
        <v>22</v>
      </c>
      <c r="P40" t="s">
        <v>65</v>
      </c>
    </row>
    <row r="41" spans="1:16" hidden="1">
      <c r="A41" t="s">
        <v>37</v>
      </c>
      <c r="B41" t="s">
        <v>30</v>
      </c>
      <c r="C41" t="s">
        <v>18</v>
      </c>
      <c r="D41">
        <v>8</v>
      </c>
      <c r="E41">
        <v>5</v>
      </c>
      <c r="F41" t="s">
        <v>19</v>
      </c>
      <c r="G41" t="s">
        <v>38</v>
      </c>
      <c r="H41">
        <v>75</v>
      </c>
      <c r="I41">
        <v>46.29</v>
      </c>
      <c r="J41">
        <v>8</v>
      </c>
      <c r="K41">
        <v>8</v>
      </c>
      <c r="L41">
        <v>3096.54</v>
      </c>
      <c r="M41">
        <v>387.07</v>
      </c>
      <c r="N41" t="s">
        <v>21</v>
      </c>
      <c r="O41" t="s">
        <v>22</v>
      </c>
      <c r="P41" t="s">
        <v>66</v>
      </c>
    </row>
    <row r="42" spans="1:16" hidden="1">
      <c r="A42" t="s">
        <v>37</v>
      </c>
      <c r="B42" t="s">
        <v>30</v>
      </c>
      <c r="C42" t="s">
        <v>26</v>
      </c>
      <c r="D42">
        <v>1</v>
      </c>
      <c r="E42">
        <v>1</v>
      </c>
      <c r="F42" t="s">
        <v>19</v>
      </c>
      <c r="G42" t="s">
        <v>38</v>
      </c>
      <c r="H42">
        <v>75</v>
      </c>
      <c r="I42">
        <v>137.31</v>
      </c>
      <c r="J42">
        <v>1</v>
      </c>
      <c r="K42">
        <v>1</v>
      </c>
      <c r="L42">
        <v>1043.96</v>
      </c>
      <c r="M42">
        <v>1043.96</v>
      </c>
      <c r="N42" t="s">
        <v>21</v>
      </c>
      <c r="O42" t="s">
        <v>22</v>
      </c>
      <c r="P42" t="s">
        <v>67</v>
      </c>
    </row>
    <row r="43" spans="1:16" hidden="1">
      <c r="A43" t="s">
        <v>37</v>
      </c>
      <c r="B43" t="s">
        <v>30</v>
      </c>
      <c r="C43" t="s">
        <v>26</v>
      </c>
      <c r="D43">
        <v>1</v>
      </c>
      <c r="E43">
        <v>2</v>
      </c>
      <c r="F43" t="s">
        <v>19</v>
      </c>
      <c r="G43" t="s">
        <v>38</v>
      </c>
      <c r="H43">
        <v>75</v>
      </c>
      <c r="I43">
        <v>138.04</v>
      </c>
      <c r="J43">
        <v>1</v>
      </c>
      <c r="K43">
        <v>1</v>
      </c>
      <c r="L43">
        <v>1038.48</v>
      </c>
      <c r="M43">
        <v>1038.48</v>
      </c>
      <c r="N43" t="s">
        <v>21</v>
      </c>
      <c r="O43" t="s">
        <v>22</v>
      </c>
      <c r="P43" t="s">
        <v>68</v>
      </c>
    </row>
    <row r="44" spans="1:16" hidden="1">
      <c r="A44" t="s">
        <v>37</v>
      </c>
      <c r="B44" t="s">
        <v>30</v>
      </c>
      <c r="C44" t="s">
        <v>26</v>
      </c>
      <c r="D44">
        <v>1</v>
      </c>
      <c r="E44">
        <v>3</v>
      </c>
      <c r="F44" t="s">
        <v>19</v>
      </c>
      <c r="G44" t="s">
        <v>38</v>
      </c>
      <c r="H44">
        <v>75</v>
      </c>
      <c r="I44">
        <v>138.43</v>
      </c>
      <c r="J44">
        <v>1</v>
      </c>
      <c r="K44">
        <v>1</v>
      </c>
      <c r="L44">
        <v>1035.55</v>
      </c>
      <c r="M44">
        <v>1035.55</v>
      </c>
      <c r="N44" t="s">
        <v>21</v>
      </c>
      <c r="O44" t="s">
        <v>22</v>
      </c>
      <c r="P44" t="s">
        <v>69</v>
      </c>
    </row>
    <row r="45" spans="1:16" hidden="1">
      <c r="A45" t="s">
        <v>37</v>
      </c>
      <c r="B45" t="s">
        <v>30</v>
      </c>
      <c r="C45" t="s">
        <v>26</v>
      </c>
      <c r="D45">
        <v>1</v>
      </c>
      <c r="E45">
        <v>4</v>
      </c>
      <c r="F45" t="s">
        <v>19</v>
      </c>
      <c r="G45" t="s">
        <v>38</v>
      </c>
      <c r="H45">
        <v>75</v>
      </c>
      <c r="I45">
        <v>137.93</v>
      </c>
      <c r="J45">
        <v>1</v>
      </c>
      <c r="K45">
        <v>1</v>
      </c>
      <c r="L45">
        <v>1039.27</v>
      </c>
      <c r="M45">
        <v>1039.27</v>
      </c>
      <c r="N45" t="s">
        <v>21</v>
      </c>
      <c r="O45" t="s">
        <v>22</v>
      </c>
      <c r="P45" t="s">
        <v>70</v>
      </c>
    </row>
    <row r="46" spans="1:16" hidden="1">
      <c r="A46" t="s">
        <v>37</v>
      </c>
      <c r="B46" t="s">
        <v>30</v>
      </c>
      <c r="C46" t="s">
        <v>26</v>
      </c>
      <c r="D46">
        <v>1</v>
      </c>
      <c r="E46">
        <v>5</v>
      </c>
      <c r="F46" t="s">
        <v>19</v>
      </c>
      <c r="G46" t="s">
        <v>38</v>
      </c>
      <c r="H46">
        <v>75</v>
      </c>
      <c r="I46">
        <v>136.93</v>
      </c>
      <c r="J46">
        <v>1</v>
      </c>
      <c r="K46">
        <v>1</v>
      </c>
      <c r="L46">
        <v>1046.8399999999999</v>
      </c>
      <c r="M46">
        <v>1046.8399999999999</v>
      </c>
      <c r="N46" t="s">
        <v>21</v>
      </c>
      <c r="O46" t="s">
        <v>22</v>
      </c>
      <c r="P46" t="s">
        <v>71</v>
      </c>
    </row>
    <row r="47" spans="1:16" hidden="1">
      <c r="A47" t="s">
        <v>37</v>
      </c>
      <c r="B47" t="s">
        <v>30</v>
      </c>
      <c r="C47" t="s">
        <v>26</v>
      </c>
      <c r="D47">
        <v>2</v>
      </c>
      <c r="E47">
        <v>1</v>
      </c>
      <c r="F47" t="s">
        <v>19</v>
      </c>
      <c r="G47" t="s">
        <v>38</v>
      </c>
      <c r="H47">
        <v>75</v>
      </c>
      <c r="I47">
        <v>56.45</v>
      </c>
      <c r="J47">
        <v>2</v>
      </c>
      <c r="K47">
        <v>2</v>
      </c>
      <c r="L47">
        <v>2539.4499999999998</v>
      </c>
      <c r="M47">
        <v>1269.72</v>
      </c>
      <c r="N47" t="s">
        <v>21</v>
      </c>
      <c r="O47" t="s">
        <v>22</v>
      </c>
      <c r="P47" t="s">
        <v>72</v>
      </c>
    </row>
    <row r="48" spans="1:16" hidden="1">
      <c r="A48" t="s">
        <v>37</v>
      </c>
      <c r="B48" t="s">
        <v>30</v>
      </c>
      <c r="C48" t="s">
        <v>26</v>
      </c>
      <c r="D48">
        <v>2</v>
      </c>
      <c r="E48">
        <v>2</v>
      </c>
      <c r="F48" t="s">
        <v>19</v>
      </c>
      <c r="G48" t="s">
        <v>38</v>
      </c>
      <c r="H48">
        <v>75</v>
      </c>
      <c r="I48">
        <v>56.57</v>
      </c>
      <c r="J48">
        <v>2</v>
      </c>
      <c r="K48">
        <v>2</v>
      </c>
      <c r="L48">
        <v>2534.08</v>
      </c>
      <c r="M48">
        <v>1267.04</v>
      </c>
      <c r="N48" t="s">
        <v>21</v>
      </c>
      <c r="O48" t="s">
        <v>22</v>
      </c>
      <c r="P48" t="s">
        <v>73</v>
      </c>
    </row>
    <row r="49" spans="1:16" hidden="1">
      <c r="A49" t="s">
        <v>37</v>
      </c>
      <c r="B49" t="s">
        <v>30</v>
      </c>
      <c r="C49" t="s">
        <v>26</v>
      </c>
      <c r="D49">
        <v>2</v>
      </c>
      <c r="E49">
        <v>3</v>
      </c>
      <c r="F49" t="s">
        <v>19</v>
      </c>
      <c r="G49" t="s">
        <v>38</v>
      </c>
      <c r="H49">
        <v>75</v>
      </c>
      <c r="I49">
        <v>56.6</v>
      </c>
      <c r="J49">
        <v>2</v>
      </c>
      <c r="K49">
        <v>2</v>
      </c>
      <c r="L49">
        <v>2532.6999999999998</v>
      </c>
      <c r="M49">
        <v>1266.3499999999999</v>
      </c>
      <c r="N49" t="s">
        <v>21</v>
      </c>
      <c r="O49" t="s">
        <v>22</v>
      </c>
      <c r="P49" t="s">
        <v>74</v>
      </c>
    </row>
    <row r="50" spans="1:16" hidden="1">
      <c r="A50" t="s">
        <v>37</v>
      </c>
      <c r="B50" t="s">
        <v>30</v>
      </c>
      <c r="C50" t="s">
        <v>26</v>
      </c>
      <c r="D50">
        <v>2</v>
      </c>
      <c r="E50">
        <v>4</v>
      </c>
      <c r="F50" t="s">
        <v>19</v>
      </c>
      <c r="G50" t="s">
        <v>38</v>
      </c>
      <c r="H50">
        <v>75</v>
      </c>
      <c r="I50">
        <v>56.31</v>
      </c>
      <c r="J50">
        <v>2</v>
      </c>
      <c r="K50">
        <v>2</v>
      </c>
      <c r="L50">
        <v>2545.7399999999998</v>
      </c>
      <c r="M50">
        <v>1272.8699999999999</v>
      </c>
      <c r="N50" t="s">
        <v>21</v>
      </c>
      <c r="O50" t="s">
        <v>22</v>
      </c>
      <c r="P50" t="s">
        <v>75</v>
      </c>
    </row>
    <row r="51" spans="1:16" hidden="1">
      <c r="A51" t="s">
        <v>37</v>
      </c>
      <c r="B51" t="s">
        <v>30</v>
      </c>
      <c r="C51" t="s">
        <v>26</v>
      </c>
      <c r="D51">
        <v>2</v>
      </c>
      <c r="E51">
        <v>5</v>
      </c>
      <c r="F51" t="s">
        <v>19</v>
      </c>
      <c r="G51" t="s">
        <v>38</v>
      </c>
      <c r="H51">
        <v>75</v>
      </c>
      <c r="I51">
        <v>56.44</v>
      </c>
      <c r="J51">
        <v>2</v>
      </c>
      <c r="K51">
        <v>2</v>
      </c>
      <c r="L51">
        <v>2539.9899999999998</v>
      </c>
      <c r="M51">
        <v>1270</v>
      </c>
      <c r="N51" t="s">
        <v>21</v>
      </c>
      <c r="O51" t="s">
        <v>22</v>
      </c>
      <c r="P51" t="s">
        <v>76</v>
      </c>
    </row>
    <row r="52" spans="1:16" hidden="1">
      <c r="A52" t="s">
        <v>37</v>
      </c>
      <c r="B52" t="s">
        <v>30</v>
      </c>
      <c r="C52" t="s">
        <v>26</v>
      </c>
      <c r="D52">
        <v>4</v>
      </c>
      <c r="E52">
        <v>1</v>
      </c>
      <c r="F52" t="s">
        <v>19</v>
      </c>
      <c r="G52" t="s">
        <v>38</v>
      </c>
      <c r="H52">
        <v>75</v>
      </c>
      <c r="I52">
        <v>33.54</v>
      </c>
      <c r="J52">
        <v>4</v>
      </c>
      <c r="K52">
        <v>4</v>
      </c>
      <c r="L52">
        <v>4273.45</v>
      </c>
      <c r="M52">
        <v>1068.3599999999999</v>
      </c>
      <c r="N52" t="s">
        <v>21</v>
      </c>
      <c r="O52" t="s">
        <v>22</v>
      </c>
      <c r="P52" t="s">
        <v>77</v>
      </c>
    </row>
    <row r="53" spans="1:16" hidden="1">
      <c r="A53" t="s">
        <v>37</v>
      </c>
      <c r="B53" t="s">
        <v>30</v>
      </c>
      <c r="C53" t="s">
        <v>26</v>
      </c>
      <c r="D53">
        <v>4</v>
      </c>
      <c r="E53">
        <v>2</v>
      </c>
      <c r="F53" t="s">
        <v>19</v>
      </c>
      <c r="G53" t="s">
        <v>38</v>
      </c>
      <c r="H53">
        <v>75</v>
      </c>
      <c r="I53">
        <v>33.43</v>
      </c>
      <c r="J53">
        <v>4</v>
      </c>
      <c r="K53">
        <v>4</v>
      </c>
      <c r="L53">
        <v>4288.5</v>
      </c>
      <c r="M53">
        <v>1072.1300000000001</v>
      </c>
      <c r="N53" t="s">
        <v>21</v>
      </c>
      <c r="O53" t="s">
        <v>22</v>
      </c>
      <c r="P53" t="s">
        <v>78</v>
      </c>
    </row>
    <row r="54" spans="1:16" hidden="1">
      <c r="A54" t="s">
        <v>37</v>
      </c>
      <c r="B54" t="s">
        <v>30</v>
      </c>
      <c r="C54" t="s">
        <v>26</v>
      </c>
      <c r="D54">
        <v>4</v>
      </c>
      <c r="E54">
        <v>3</v>
      </c>
      <c r="F54" t="s">
        <v>19</v>
      </c>
      <c r="G54" t="s">
        <v>38</v>
      </c>
      <c r="H54">
        <v>75</v>
      </c>
      <c r="I54">
        <v>33.549999999999997</v>
      </c>
      <c r="J54">
        <v>4</v>
      </c>
      <c r="K54">
        <v>4</v>
      </c>
      <c r="L54">
        <v>4272.99</v>
      </c>
      <c r="M54">
        <v>1068.25</v>
      </c>
      <c r="N54" t="s">
        <v>21</v>
      </c>
      <c r="O54" t="s">
        <v>22</v>
      </c>
      <c r="P54" t="s">
        <v>79</v>
      </c>
    </row>
    <row r="55" spans="1:16" hidden="1">
      <c r="A55" t="s">
        <v>37</v>
      </c>
      <c r="B55" t="s">
        <v>30</v>
      </c>
      <c r="C55" t="s">
        <v>26</v>
      </c>
      <c r="D55">
        <v>4</v>
      </c>
      <c r="E55">
        <v>4</v>
      </c>
      <c r="F55" t="s">
        <v>19</v>
      </c>
      <c r="G55" t="s">
        <v>38</v>
      </c>
      <c r="H55">
        <v>75</v>
      </c>
      <c r="I55">
        <v>33.549999999999997</v>
      </c>
      <c r="J55">
        <v>4</v>
      </c>
      <c r="K55">
        <v>4</v>
      </c>
      <c r="L55">
        <v>4272.8599999999997</v>
      </c>
      <c r="M55">
        <v>1068.22</v>
      </c>
      <c r="N55" t="s">
        <v>21</v>
      </c>
      <c r="O55" t="s">
        <v>22</v>
      </c>
      <c r="P55" t="s">
        <v>80</v>
      </c>
    </row>
    <row r="56" spans="1:16" hidden="1">
      <c r="A56" t="s">
        <v>37</v>
      </c>
      <c r="B56" t="s">
        <v>30</v>
      </c>
      <c r="C56" t="s">
        <v>26</v>
      </c>
      <c r="D56">
        <v>4</v>
      </c>
      <c r="E56">
        <v>5</v>
      </c>
      <c r="F56" t="s">
        <v>19</v>
      </c>
      <c r="G56" t="s">
        <v>38</v>
      </c>
      <c r="H56">
        <v>75</v>
      </c>
      <c r="I56">
        <v>33.93</v>
      </c>
      <c r="J56">
        <v>4</v>
      </c>
      <c r="K56">
        <v>4</v>
      </c>
      <c r="L56">
        <v>4225.03</v>
      </c>
      <c r="M56">
        <v>1056.26</v>
      </c>
      <c r="N56" t="s">
        <v>21</v>
      </c>
      <c r="O56" t="s">
        <v>22</v>
      </c>
      <c r="P56" t="s">
        <v>81</v>
      </c>
    </row>
    <row r="57" spans="1:16" hidden="1">
      <c r="A57" t="s">
        <v>37</v>
      </c>
      <c r="B57" t="s">
        <v>30</v>
      </c>
      <c r="C57" t="s">
        <v>26</v>
      </c>
      <c r="D57">
        <v>8</v>
      </c>
      <c r="E57">
        <v>1</v>
      </c>
      <c r="F57" t="s">
        <v>19</v>
      </c>
      <c r="G57" t="s">
        <v>38</v>
      </c>
      <c r="H57">
        <v>75</v>
      </c>
      <c r="I57">
        <v>44.65</v>
      </c>
      <c r="J57">
        <v>8</v>
      </c>
      <c r="K57">
        <v>8</v>
      </c>
      <c r="L57">
        <v>3210.62</v>
      </c>
      <c r="M57">
        <v>401.33</v>
      </c>
      <c r="N57" t="s">
        <v>21</v>
      </c>
      <c r="O57" t="s">
        <v>22</v>
      </c>
      <c r="P57" t="s">
        <v>82</v>
      </c>
    </row>
    <row r="58" spans="1:16" hidden="1">
      <c r="A58" t="s">
        <v>37</v>
      </c>
      <c r="B58" t="s">
        <v>30</v>
      </c>
      <c r="C58" t="s">
        <v>26</v>
      </c>
      <c r="D58">
        <v>8</v>
      </c>
      <c r="E58">
        <v>2</v>
      </c>
      <c r="F58" t="s">
        <v>19</v>
      </c>
      <c r="G58" t="s">
        <v>38</v>
      </c>
      <c r="H58">
        <v>75</v>
      </c>
      <c r="I58">
        <v>45.01</v>
      </c>
      <c r="J58">
        <v>8</v>
      </c>
      <c r="K58">
        <v>8</v>
      </c>
      <c r="L58">
        <v>3184.74</v>
      </c>
      <c r="M58">
        <v>398.09</v>
      </c>
      <c r="N58" t="s">
        <v>21</v>
      </c>
      <c r="O58" t="s">
        <v>22</v>
      </c>
      <c r="P58" t="s">
        <v>83</v>
      </c>
    </row>
    <row r="59" spans="1:16" hidden="1">
      <c r="A59" t="s">
        <v>37</v>
      </c>
      <c r="B59" t="s">
        <v>30</v>
      </c>
      <c r="C59" t="s">
        <v>26</v>
      </c>
      <c r="D59">
        <v>8</v>
      </c>
      <c r="E59">
        <v>3</v>
      </c>
      <c r="F59" t="s">
        <v>19</v>
      </c>
      <c r="G59" t="s">
        <v>38</v>
      </c>
      <c r="H59">
        <v>75</v>
      </c>
      <c r="I59">
        <v>44.66</v>
      </c>
      <c r="J59">
        <v>8</v>
      </c>
      <c r="K59">
        <v>8</v>
      </c>
      <c r="L59">
        <v>3209.81</v>
      </c>
      <c r="M59">
        <v>401.23</v>
      </c>
      <c r="N59" t="s">
        <v>21</v>
      </c>
      <c r="O59" t="s">
        <v>22</v>
      </c>
      <c r="P59" t="s">
        <v>84</v>
      </c>
    </row>
    <row r="60" spans="1:16" hidden="1">
      <c r="A60" t="s">
        <v>37</v>
      </c>
      <c r="B60" t="s">
        <v>30</v>
      </c>
      <c r="C60" t="s">
        <v>26</v>
      </c>
      <c r="D60">
        <v>8</v>
      </c>
      <c r="E60">
        <v>4</v>
      </c>
      <c r="F60" t="s">
        <v>19</v>
      </c>
      <c r="G60" t="s">
        <v>38</v>
      </c>
      <c r="H60">
        <v>75</v>
      </c>
      <c r="I60">
        <v>45</v>
      </c>
      <c r="J60">
        <v>8</v>
      </c>
      <c r="K60">
        <v>8</v>
      </c>
      <c r="L60">
        <v>3185.76</v>
      </c>
      <c r="M60">
        <v>398.22</v>
      </c>
      <c r="N60" t="s">
        <v>21</v>
      </c>
      <c r="O60" t="s">
        <v>22</v>
      </c>
      <c r="P60" t="s">
        <v>85</v>
      </c>
    </row>
    <row r="61" spans="1:16" hidden="1">
      <c r="A61" t="s">
        <v>37</v>
      </c>
      <c r="B61" t="s">
        <v>30</v>
      </c>
      <c r="C61" t="s">
        <v>26</v>
      </c>
      <c r="D61">
        <v>8</v>
      </c>
      <c r="E61">
        <v>5</v>
      </c>
      <c r="F61" t="s">
        <v>19</v>
      </c>
      <c r="G61" t="s">
        <v>38</v>
      </c>
      <c r="H61">
        <v>75</v>
      </c>
      <c r="I61">
        <v>44.66</v>
      </c>
      <c r="J61">
        <v>8</v>
      </c>
      <c r="K61">
        <v>8</v>
      </c>
      <c r="L61">
        <v>3209.86</v>
      </c>
      <c r="M61">
        <v>401.23</v>
      </c>
      <c r="N61" t="s">
        <v>21</v>
      </c>
      <c r="O61" t="s">
        <v>22</v>
      </c>
      <c r="P61" t="s">
        <v>86</v>
      </c>
    </row>
    <row r="62" spans="1:16" hidden="1">
      <c r="A62" t="s">
        <v>87</v>
      </c>
      <c r="B62" t="s">
        <v>17</v>
      </c>
      <c r="C62" t="s">
        <v>18</v>
      </c>
      <c r="D62">
        <v>1</v>
      </c>
      <c r="E62">
        <v>1</v>
      </c>
      <c r="F62" t="s">
        <v>19</v>
      </c>
      <c r="G62" t="s">
        <v>88</v>
      </c>
      <c r="H62">
        <v>0</v>
      </c>
      <c r="I62">
        <v>62.98</v>
      </c>
      <c r="J62">
        <v>1</v>
      </c>
      <c r="K62">
        <v>1</v>
      </c>
      <c r="L62">
        <v>136.4</v>
      </c>
      <c r="M62">
        <v>136.4</v>
      </c>
      <c r="N62" t="s">
        <v>89</v>
      </c>
      <c r="O62" t="s">
        <v>22</v>
      </c>
      <c r="P62" t="s">
        <v>90</v>
      </c>
    </row>
    <row r="63" spans="1:16" hidden="1">
      <c r="A63" t="s">
        <v>87</v>
      </c>
      <c r="B63" t="s">
        <v>17</v>
      </c>
      <c r="C63" t="s">
        <v>18</v>
      </c>
      <c r="D63">
        <v>2</v>
      </c>
      <c r="E63">
        <v>1</v>
      </c>
      <c r="F63" t="s">
        <v>19</v>
      </c>
      <c r="G63" t="s">
        <v>88</v>
      </c>
      <c r="H63">
        <v>0</v>
      </c>
      <c r="I63">
        <v>31.46</v>
      </c>
      <c r="J63">
        <v>2</v>
      </c>
      <c r="K63">
        <v>2</v>
      </c>
      <c r="L63">
        <v>273.04000000000002</v>
      </c>
      <c r="M63">
        <v>136.52000000000001</v>
      </c>
      <c r="N63" t="s">
        <v>89</v>
      </c>
      <c r="O63" t="s">
        <v>22</v>
      </c>
      <c r="P63" t="s">
        <v>91</v>
      </c>
    </row>
    <row r="64" spans="1:16" hidden="1">
      <c r="A64" t="s">
        <v>87</v>
      </c>
      <c r="B64" t="s">
        <v>17</v>
      </c>
      <c r="C64" t="s">
        <v>18</v>
      </c>
      <c r="D64">
        <v>4</v>
      </c>
      <c r="E64">
        <v>1</v>
      </c>
      <c r="F64" t="s">
        <v>92</v>
      </c>
      <c r="G64" t="s">
        <v>92</v>
      </c>
      <c r="N64" t="s">
        <v>92</v>
      </c>
      <c r="O64" t="s">
        <v>92</v>
      </c>
      <c r="P64" t="s">
        <v>93</v>
      </c>
    </row>
    <row r="65" spans="1:16" hidden="1">
      <c r="A65" t="s">
        <v>87</v>
      </c>
      <c r="B65" t="s">
        <v>17</v>
      </c>
      <c r="C65" t="s">
        <v>18</v>
      </c>
      <c r="D65">
        <v>8</v>
      </c>
      <c r="E65">
        <v>1</v>
      </c>
      <c r="F65" t="s">
        <v>19</v>
      </c>
      <c r="G65" t="s">
        <v>88</v>
      </c>
      <c r="H65">
        <v>0</v>
      </c>
      <c r="I65">
        <v>8.91</v>
      </c>
      <c r="J65">
        <v>8</v>
      </c>
      <c r="K65">
        <v>8</v>
      </c>
      <c r="L65">
        <v>964.55</v>
      </c>
      <c r="M65">
        <v>120.57</v>
      </c>
      <c r="N65" t="s">
        <v>89</v>
      </c>
      <c r="O65" t="s">
        <v>22</v>
      </c>
      <c r="P65" t="s">
        <v>94</v>
      </c>
    </row>
    <row r="66" spans="1:16" hidden="1">
      <c r="A66" t="s">
        <v>87</v>
      </c>
      <c r="B66" t="s">
        <v>17</v>
      </c>
      <c r="C66" t="s">
        <v>26</v>
      </c>
      <c r="D66">
        <v>1</v>
      </c>
      <c r="E66">
        <v>1</v>
      </c>
      <c r="F66" t="s">
        <v>19</v>
      </c>
      <c r="G66" t="s">
        <v>88</v>
      </c>
      <c r="H66">
        <v>0</v>
      </c>
      <c r="I66">
        <v>62.86</v>
      </c>
      <c r="J66">
        <v>1</v>
      </c>
      <c r="K66">
        <v>1</v>
      </c>
      <c r="L66">
        <v>136.66</v>
      </c>
      <c r="M66">
        <v>136.66</v>
      </c>
      <c r="N66" t="s">
        <v>89</v>
      </c>
      <c r="O66" t="s">
        <v>22</v>
      </c>
      <c r="P66" t="s">
        <v>95</v>
      </c>
    </row>
    <row r="67" spans="1:16" hidden="1">
      <c r="A67" t="s">
        <v>87</v>
      </c>
      <c r="B67" t="s">
        <v>17</v>
      </c>
      <c r="C67" t="s">
        <v>26</v>
      </c>
      <c r="D67">
        <v>2</v>
      </c>
      <c r="E67">
        <v>1</v>
      </c>
      <c r="F67" t="s">
        <v>19</v>
      </c>
      <c r="G67" t="s">
        <v>88</v>
      </c>
      <c r="H67">
        <v>0</v>
      </c>
      <c r="I67">
        <v>31.5</v>
      </c>
      <c r="J67">
        <v>2</v>
      </c>
      <c r="K67">
        <v>2</v>
      </c>
      <c r="L67">
        <v>272.67</v>
      </c>
      <c r="M67">
        <v>136.34</v>
      </c>
      <c r="N67" t="s">
        <v>89</v>
      </c>
      <c r="O67" t="s">
        <v>22</v>
      </c>
      <c r="P67" t="s">
        <v>96</v>
      </c>
    </row>
    <row r="68" spans="1:16" hidden="1">
      <c r="A68" t="s">
        <v>87</v>
      </c>
      <c r="B68" t="s">
        <v>17</v>
      </c>
      <c r="C68" t="s">
        <v>26</v>
      </c>
      <c r="D68">
        <v>4</v>
      </c>
      <c r="E68">
        <v>1</v>
      </c>
      <c r="F68" t="s">
        <v>19</v>
      </c>
      <c r="G68" t="s">
        <v>88</v>
      </c>
      <c r="H68">
        <v>0</v>
      </c>
      <c r="I68">
        <v>15.75</v>
      </c>
      <c r="J68">
        <v>4</v>
      </c>
      <c r="K68">
        <v>4</v>
      </c>
      <c r="L68">
        <v>545.54999999999995</v>
      </c>
      <c r="M68">
        <v>136.38999999999999</v>
      </c>
      <c r="N68" t="s">
        <v>89</v>
      </c>
      <c r="O68" t="s">
        <v>22</v>
      </c>
      <c r="P68" t="s">
        <v>97</v>
      </c>
    </row>
    <row r="69" spans="1:16" hidden="1">
      <c r="A69" t="s">
        <v>87</v>
      </c>
      <c r="B69" t="s">
        <v>17</v>
      </c>
      <c r="C69" t="s">
        <v>26</v>
      </c>
      <c r="D69">
        <v>8</v>
      </c>
      <c r="E69">
        <v>1</v>
      </c>
      <c r="F69" t="s">
        <v>19</v>
      </c>
      <c r="G69" t="s">
        <v>88</v>
      </c>
      <c r="H69">
        <v>0</v>
      </c>
      <c r="I69">
        <v>8.9</v>
      </c>
      <c r="J69">
        <v>8</v>
      </c>
      <c r="K69">
        <v>8</v>
      </c>
      <c r="L69">
        <v>965.64</v>
      </c>
      <c r="M69">
        <v>120.71</v>
      </c>
      <c r="N69" t="s">
        <v>89</v>
      </c>
      <c r="O69" t="s">
        <v>22</v>
      </c>
      <c r="P69" t="s">
        <v>98</v>
      </c>
    </row>
    <row r="70" spans="1:16" hidden="1">
      <c r="A70" t="s">
        <v>87</v>
      </c>
      <c r="B70" t="s">
        <v>30</v>
      </c>
      <c r="C70" t="s">
        <v>18</v>
      </c>
      <c r="D70">
        <v>1</v>
      </c>
      <c r="E70">
        <v>1</v>
      </c>
      <c r="F70" t="s">
        <v>19</v>
      </c>
      <c r="G70" t="s">
        <v>88</v>
      </c>
      <c r="H70">
        <v>0</v>
      </c>
      <c r="I70">
        <v>158.38</v>
      </c>
      <c r="J70">
        <v>1</v>
      </c>
      <c r="K70">
        <v>1</v>
      </c>
      <c r="L70">
        <v>54.24</v>
      </c>
      <c r="M70">
        <v>54.24</v>
      </c>
      <c r="N70" t="s">
        <v>89</v>
      </c>
      <c r="O70" t="s">
        <v>22</v>
      </c>
      <c r="P70" t="s">
        <v>99</v>
      </c>
    </row>
    <row r="71" spans="1:16" hidden="1">
      <c r="A71" t="s">
        <v>87</v>
      </c>
      <c r="B71" t="s">
        <v>30</v>
      </c>
      <c r="C71" t="s">
        <v>18</v>
      </c>
      <c r="D71">
        <v>1</v>
      </c>
      <c r="E71">
        <v>2</v>
      </c>
      <c r="F71" t="s">
        <v>19</v>
      </c>
      <c r="G71" t="s">
        <v>88</v>
      </c>
      <c r="H71">
        <v>0</v>
      </c>
      <c r="I71">
        <v>158.36000000000001</v>
      </c>
      <c r="J71">
        <v>1</v>
      </c>
      <c r="K71">
        <v>1</v>
      </c>
      <c r="L71">
        <v>54.24</v>
      </c>
      <c r="M71">
        <v>54.24</v>
      </c>
      <c r="N71" t="s">
        <v>89</v>
      </c>
      <c r="O71" t="s">
        <v>22</v>
      </c>
      <c r="P71" t="s">
        <v>100</v>
      </c>
    </row>
    <row r="72" spans="1:16" hidden="1">
      <c r="A72" t="s">
        <v>87</v>
      </c>
      <c r="B72" t="s">
        <v>30</v>
      </c>
      <c r="C72" t="s">
        <v>18</v>
      </c>
      <c r="D72">
        <v>1</v>
      </c>
      <c r="E72">
        <v>3</v>
      </c>
      <c r="F72" t="s">
        <v>19</v>
      </c>
      <c r="G72" t="s">
        <v>88</v>
      </c>
      <c r="H72">
        <v>0</v>
      </c>
      <c r="I72">
        <v>158.36000000000001</v>
      </c>
      <c r="J72">
        <v>1</v>
      </c>
      <c r="K72">
        <v>1</v>
      </c>
      <c r="L72">
        <v>54.24</v>
      </c>
      <c r="M72">
        <v>54.24</v>
      </c>
      <c r="N72" t="s">
        <v>89</v>
      </c>
      <c r="O72" t="s">
        <v>22</v>
      </c>
      <c r="P72" t="s">
        <v>101</v>
      </c>
    </row>
    <row r="73" spans="1:16" hidden="1">
      <c r="A73" t="s">
        <v>87</v>
      </c>
      <c r="B73" t="s">
        <v>30</v>
      </c>
      <c r="C73" t="s">
        <v>18</v>
      </c>
      <c r="D73">
        <v>1</v>
      </c>
      <c r="E73">
        <v>4</v>
      </c>
      <c r="F73" t="s">
        <v>19</v>
      </c>
      <c r="G73" t="s">
        <v>88</v>
      </c>
      <c r="H73">
        <v>0</v>
      </c>
      <c r="I73">
        <v>158.35</v>
      </c>
      <c r="J73">
        <v>1</v>
      </c>
      <c r="K73">
        <v>1</v>
      </c>
      <c r="L73">
        <v>54.25</v>
      </c>
      <c r="M73">
        <v>54.25</v>
      </c>
      <c r="N73" t="s">
        <v>89</v>
      </c>
      <c r="O73" t="s">
        <v>22</v>
      </c>
      <c r="P73" t="s">
        <v>102</v>
      </c>
    </row>
    <row r="74" spans="1:16" hidden="1">
      <c r="A74" t="s">
        <v>87</v>
      </c>
      <c r="B74" t="s">
        <v>30</v>
      </c>
      <c r="C74" t="s">
        <v>18</v>
      </c>
      <c r="D74">
        <v>1</v>
      </c>
      <c r="E74">
        <v>5</v>
      </c>
      <c r="F74" t="s">
        <v>19</v>
      </c>
      <c r="G74" t="s">
        <v>88</v>
      </c>
      <c r="H74">
        <v>0</v>
      </c>
      <c r="I74">
        <v>158.4</v>
      </c>
      <c r="J74">
        <v>1</v>
      </c>
      <c r="K74">
        <v>1</v>
      </c>
      <c r="L74">
        <v>54.23</v>
      </c>
      <c r="M74">
        <v>54.23</v>
      </c>
      <c r="N74" t="s">
        <v>89</v>
      </c>
      <c r="O74" t="s">
        <v>22</v>
      </c>
      <c r="P74" t="s">
        <v>103</v>
      </c>
    </row>
    <row r="75" spans="1:16" hidden="1">
      <c r="A75" t="s">
        <v>87</v>
      </c>
      <c r="B75" t="s">
        <v>30</v>
      </c>
      <c r="C75" t="s">
        <v>18</v>
      </c>
      <c r="D75">
        <v>2</v>
      </c>
      <c r="E75">
        <v>1</v>
      </c>
      <c r="F75" t="s">
        <v>19</v>
      </c>
      <c r="G75" t="s">
        <v>88</v>
      </c>
      <c r="H75">
        <v>0</v>
      </c>
      <c r="I75">
        <v>79.2</v>
      </c>
      <c r="J75">
        <v>2</v>
      </c>
      <c r="K75">
        <v>2</v>
      </c>
      <c r="L75">
        <v>108.46</v>
      </c>
      <c r="M75">
        <v>54.23</v>
      </c>
      <c r="N75" t="s">
        <v>89</v>
      </c>
      <c r="O75" t="s">
        <v>22</v>
      </c>
      <c r="P75" t="s">
        <v>104</v>
      </c>
    </row>
    <row r="76" spans="1:16" hidden="1">
      <c r="A76" t="s">
        <v>87</v>
      </c>
      <c r="B76" t="s">
        <v>30</v>
      </c>
      <c r="C76" t="s">
        <v>18</v>
      </c>
      <c r="D76">
        <v>2</v>
      </c>
      <c r="E76">
        <v>2</v>
      </c>
      <c r="F76" t="s">
        <v>19</v>
      </c>
      <c r="G76" t="s">
        <v>88</v>
      </c>
      <c r="H76">
        <v>0</v>
      </c>
      <c r="I76">
        <v>79.2</v>
      </c>
      <c r="J76">
        <v>2</v>
      </c>
      <c r="K76">
        <v>2</v>
      </c>
      <c r="L76">
        <v>108.46</v>
      </c>
      <c r="M76">
        <v>54.23</v>
      </c>
      <c r="N76" t="s">
        <v>89</v>
      </c>
      <c r="O76" t="s">
        <v>22</v>
      </c>
      <c r="P76" t="s">
        <v>105</v>
      </c>
    </row>
    <row r="77" spans="1:16" hidden="1">
      <c r="A77" t="s">
        <v>87</v>
      </c>
      <c r="B77" t="s">
        <v>30</v>
      </c>
      <c r="C77" t="s">
        <v>18</v>
      </c>
      <c r="D77">
        <v>2</v>
      </c>
      <c r="E77">
        <v>3</v>
      </c>
      <c r="F77" t="s">
        <v>19</v>
      </c>
      <c r="G77" t="s">
        <v>88</v>
      </c>
      <c r="H77">
        <v>0</v>
      </c>
      <c r="I77">
        <v>79.22</v>
      </c>
      <c r="J77">
        <v>2</v>
      </c>
      <c r="K77">
        <v>2</v>
      </c>
      <c r="L77">
        <v>108.43</v>
      </c>
      <c r="M77">
        <v>54.21</v>
      </c>
      <c r="N77" t="s">
        <v>89</v>
      </c>
      <c r="O77" t="s">
        <v>22</v>
      </c>
      <c r="P77" t="s">
        <v>106</v>
      </c>
    </row>
    <row r="78" spans="1:16" hidden="1">
      <c r="A78" t="s">
        <v>87</v>
      </c>
      <c r="B78" t="s">
        <v>30</v>
      </c>
      <c r="C78" t="s">
        <v>18</v>
      </c>
      <c r="D78">
        <v>2</v>
      </c>
      <c r="E78">
        <v>4</v>
      </c>
      <c r="F78" t="s">
        <v>19</v>
      </c>
      <c r="G78" t="s">
        <v>88</v>
      </c>
      <c r="H78">
        <v>0</v>
      </c>
      <c r="I78">
        <v>79.2</v>
      </c>
      <c r="J78">
        <v>2</v>
      </c>
      <c r="K78">
        <v>2</v>
      </c>
      <c r="L78">
        <v>108.46</v>
      </c>
      <c r="M78">
        <v>54.23</v>
      </c>
      <c r="N78" t="s">
        <v>89</v>
      </c>
      <c r="O78" t="s">
        <v>22</v>
      </c>
      <c r="P78" t="s">
        <v>107</v>
      </c>
    </row>
    <row r="79" spans="1:16" hidden="1">
      <c r="A79" t="s">
        <v>87</v>
      </c>
      <c r="B79" t="s">
        <v>30</v>
      </c>
      <c r="C79" t="s">
        <v>18</v>
      </c>
      <c r="D79">
        <v>2</v>
      </c>
      <c r="E79">
        <v>5</v>
      </c>
      <c r="F79" t="s">
        <v>19</v>
      </c>
      <c r="G79" t="s">
        <v>88</v>
      </c>
      <c r="H79">
        <v>0</v>
      </c>
      <c r="I79">
        <v>79.19</v>
      </c>
      <c r="J79">
        <v>2</v>
      </c>
      <c r="K79">
        <v>2</v>
      </c>
      <c r="L79">
        <v>108.47</v>
      </c>
      <c r="M79">
        <v>54.24</v>
      </c>
      <c r="N79" t="s">
        <v>89</v>
      </c>
      <c r="O79" t="s">
        <v>22</v>
      </c>
      <c r="P79" t="s">
        <v>108</v>
      </c>
    </row>
    <row r="80" spans="1:16" hidden="1">
      <c r="A80" t="s">
        <v>87</v>
      </c>
      <c r="B80" t="s">
        <v>30</v>
      </c>
      <c r="C80" t="s">
        <v>18</v>
      </c>
      <c r="D80">
        <v>4</v>
      </c>
      <c r="E80">
        <v>1</v>
      </c>
      <c r="F80" t="s">
        <v>19</v>
      </c>
      <c r="G80" t="s">
        <v>88</v>
      </c>
      <c r="H80">
        <v>0</v>
      </c>
      <c r="I80">
        <v>39.619999999999997</v>
      </c>
      <c r="J80">
        <v>4</v>
      </c>
      <c r="K80">
        <v>4</v>
      </c>
      <c r="L80">
        <v>216.82</v>
      </c>
      <c r="M80">
        <v>54.2</v>
      </c>
      <c r="N80" t="s">
        <v>89</v>
      </c>
      <c r="O80" t="s">
        <v>22</v>
      </c>
      <c r="P80" t="s">
        <v>109</v>
      </c>
    </row>
    <row r="81" spans="1:16" hidden="1">
      <c r="A81" t="s">
        <v>87</v>
      </c>
      <c r="B81" t="s">
        <v>30</v>
      </c>
      <c r="C81" t="s">
        <v>18</v>
      </c>
      <c r="D81">
        <v>4</v>
      </c>
      <c r="E81">
        <v>2</v>
      </c>
      <c r="F81" t="s">
        <v>19</v>
      </c>
      <c r="G81" t="s">
        <v>88</v>
      </c>
      <c r="H81">
        <v>0</v>
      </c>
      <c r="I81">
        <v>39.61</v>
      </c>
      <c r="J81">
        <v>4</v>
      </c>
      <c r="K81">
        <v>4</v>
      </c>
      <c r="L81">
        <v>216.87</v>
      </c>
      <c r="M81">
        <v>54.22</v>
      </c>
      <c r="N81" t="s">
        <v>89</v>
      </c>
      <c r="O81" t="s">
        <v>22</v>
      </c>
      <c r="P81" t="s">
        <v>110</v>
      </c>
    </row>
    <row r="82" spans="1:16" hidden="1">
      <c r="A82" t="s">
        <v>87</v>
      </c>
      <c r="B82" t="s">
        <v>30</v>
      </c>
      <c r="C82" t="s">
        <v>18</v>
      </c>
      <c r="D82">
        <v>4</v>
      </c>
      <c r="E82">
        <v>3</v>
      </c>
      <c r="F82" t="s">
        <v>19</v>
      </c>
      <c r="G82" t="s">
        <v>88</v>
      </c>
      <c r="H82">
        <v>0</v>
      </c>
      <c r="I82">
        <v>39.6</v>
      </c>
      <c r="J82">
        <v>4</v>
      </c>
      <c r="K82">
        <v>4</v>
      </c>
      <c r="L82">
        <v>216.91</v>
      </c>
      <c r="M82">
        <v>54.23</v>
      </c>
      <c r="N82" t="s">
        <v>89</v>
      </c>
      <c r="O82" t="s">
        <v>22</v>
      </c>
      <c r="P82" t="s">
        <v>111</v>
      </c>
    </row>
    <row r="83" spans="1:16" hidden="1">
      <c r="A83" t="s">
        <v>87</v>
      </c>
      <c r="B83" t="s">
        <v>30</v>
      </c>
      <c r="C83" t="s">
        <v>18</v>
      </c>
      <c r="D83">
        <v>4</v>
      </c>
      <c r="E83">
        <v>4</v>
      </c>
      <c r="F83" t="s">
        <v>19</v>
      </c>
      <c r="G83" t="s">
        <v>88</v>
      </c>
      <c r="H83">
        <v>0</v>
      </c>
      <c r="I83">
        <v>39.6</v>
      </c>
      <c r="J83">
        <v>4</v>
      </c>
      <c r="K83">
        <v>4</v>
      </c>
      <c r="L83">
        <v>216.92</v>
      </c>
      <c r="M83">
        <v>54.23</v>
      </c>
      <c r="N83" t="s">
        <v>89</v>
      </c>
      <c r="O83" t="s">
        <v>22</v>
      </c>
      <c r="P83" t="s">
        <v>112</v>
      </c>
    </row>
    <row r="84" spans="1:16" hidden="1">
      <c r="A84" t="s">
        <v>87</v>
      </c>
      <c r="B84" t="s">
        <v>30</v>
      </c>
      <c r="C84" t="s">
        <v>18</v>
      </c>
      <c r="D84">
        <v>4</v>
      </c>
      <c r="E84">
        <v>5</v>
      </c>
      <c r="F84" t="s">
        <v>19</v>
      </c>
      <c r="G84" t="s">
        <v>88</v>
      </c>
      <c r="H84">
        <v>0</v>
      </c>
      <c r="I84">
        <v>39.6</v>
      </c>
      <c r="J84">
        <v>4</v>
      </c>
      <c r="K84">
        <v>4</v>
      </c>
      <c r="L84">
        <v>216.92</v>
      </c>
      <c r="M84">
        <v>54.23</v>
      </c>
      <c r="N84" t="s">
        <v>89</v>
      </c>
      <c r="O84" t="s">
        <v>22</v>
      </c>
      <c r="P84" t="s">
        <v>113</v>
      </c>
    </row>
    <row r="85" spans="1:16" hidden="1">
      <c r="A85" t="s">
        <v>87</v>
      </c>
      <c r="B85" t="s">
        <v>30</v>
      </c>
      <c r="C85" t="s">
        <v>18</v>
      </c>
      <c r="D85">
        <v>8</v>
      </c>
      <c r="E85">
        <v>1</v>
      </c>
      <c r="F85" t="s">
        <v>19</v>
      </c>
      <c r="G85" t="s">
        <v>88</v>
      </c>
      <c r="H85">
        <v>0</v>
      </c>
      <c r="I85">
        <v>22.4</v>
      </c>
      <c r="J85">
        <v>8</v>
      </c>
      <c r="K85">
        <v>8</v>
      </c>
      <c r="L85">
        <v>383.47</v>
      </c>
      <c r="M85">
        <v>47.93</v>
      </c>
      <c r="N85" t="s">
        <v>89</v>
      </c>
      <c r="O85" t="s">
        <v>22</v>
      </c>
      <c r="P85" t="s">
        <v>114</v>
      </c>
    </row>
    <row r="86" spans="1:16" hidden="1">
      <c r="A86" t="s">
        <v>87</v>
      </c>
      <c r="B86" t="s">
        <v>30</v>
      </c>
      <c r="C86" t="s">
        <v>18</v>
      </c>
      <c r="D86">
        <v>8</v>
      </c>
      <c r="E86">
        <v>2</v>
      </c>
      <c r="F86" t="s">
        <v>19</v>
      </c>
      <c r="G86" t="s">
        <v>88</v>
      </c>
      <c r="H86">
        <v>0</v>
      </c>
      <c r="I86">
        <v>22.4</v>
      </c>
      <c r="J86">
        <v>8</v>
      </c>
      <c r="K86">
        <v>8</v>
      </c>
      <c r="L86">
        <v>383.41</v>
      </c>
      <c r="M86">
        <v>47.93</v>
      </c>
      <c r="N86" t="s">
        <v>89</v>
      </c>
      <c r="O86" t="s">
        <v>22</v>
      </c>
      <c r="P86" t="s">
        <v>115</v>
      </c>
    </row>
    <row r="87" spans="1:16" hidden="1">
      <c r="A87" t="s">
        <v>87</v>
      </c>
      <c r="B87" t="s">
        <v>30</v>
      </c>
      <c r="C87" t="s">
        <v>18</v>
      </c>
      <c r="D87">
        <v>8</v>
      </c>
      <c r="E87">
        <v>3</v>
      </c>
      <c r="F87" t="s">
        <v>19</v>
      </c>
      <c r="G87" t="s">
        <v>88</v>
      </c>
      <c r="H87">
        <v>0</v>
      </c>
      <c r="I87">
        <v>22.41</v>
      </c>
      <c r="J87">
        <v>8</v>
      </c>
      <c r="K87">
        <v>8</v>
      </c>
      <c r="L87">
        <v>383.33</v>
      </c>
      <c r="M87">
        <v>47.92</v>
      </c>
      <c r="N87" t="s">
        <v>89</v>
      </c>
      <c r="O87" t="s">
        <v>22</v>
      </c>
      <c r="P87" t="s">
        <v>116</v>
      </c>
    </row>
    <row r="88" spans="1:16" hidden="1">
      <c r="A88" t="s">
        <v>87</v>
      </c>
      <c r="B88" t="s">
        <v>30</v>
      </c>
      <c r="C88" t="s">
        <v>18</v>
      </c>
      <c r="D88">
        <v>8</v>
      </c>
      <c r="E88">
        <v>4</v>
      </c>
      <c r="F88" t="s">
        <v>19</v>
      </c>
      <c r="G88" t="s">
        <v>88</v>
      </c>
      <c r="H88">
        <v>0</v>
      </c>
      <c r="I88">
        <v>22.4</v>
      </c>
      <c r="J88">
        <v>8</v>
      </c>
      <c r="K88">
        <v>8</v>
      </c>
      <c r="L88">
        <v>383.44</v>
      </c>
      <c r="M88">
        <v>47.93</v>
      </c>
      <c r="N88" t="s">
        <v>89</v>
      </c>
      <c r="O88" t="s">
        <v>22</v>
      </c>
      <c r="P88" t="s">
        <v>117</v>
      </c>
    </row>
    <row r="89" spans="1:16" hidden="1">
      <c r="A89" t="s">
        <v>87</v>
      </c>
      <c r="B89" t="s">
        <v>30</v>
      </c>
      <c r="C89" t="s">
        <v>18</v>
      </c>
      <c r="D89">
        <v>8</v>
      </c>
      <c r="E89">
        <v>5</v>
      </c>
      <c r="F89" t="s">
        <v>19</v>
      </c>
      <c r="G89" t="s">
        <v>88</v>
      </c>
      <c r="H89">
        <v>0</v>
      </c>
      <c r="I89">
        <v>22.41</v>
      </c>
      <c r="J89">
        <v>8</v>
      </c>
      <c r="K89">
        <v>8</v>
      </c>
      <c r="L89">
        <v>383.34</v>
      </c>
      <c r="M89">
        <v>47.92</v>
      </c>
      <c r="N89" t="s">
        <v>89</v>
      </c>
      <c r="O89" t="s">
        <v>22</v>
      </c>
      <c r="P89" t="s">
        <v>118</v>
      </c>
    </row>
    <row r="90" spans="1:16" hidden="1">
      <c r="A90" t="s">
        <v>87</v>
      </c>
      <c r="B90" t="s">
        <v>30</v>
      </c>
      <c r="C90" t="s">
        <v>26</v>
      </c>
      <c r="D90">
        <v>1</v>
      </c>
      <c r="E90">
        <v>1</v>
      </c>
      <c r="F90" t="s">
        <v>19</v>
      </c>
      <c r="G90" t="s">
        <v>88</v>
      </c>
      <c r="H90">
        <v>0</v>
      </c>
      <c r="I90">
        <v>158.41</v>
      </c>
      <c r="J90">
        <v>1</v>
      </c>
      <c r="K90">
        <v>1</v>
      </c>
      <c r="L90">
        <v>54.23</v>
      </c>
      <c r="M90">
        <v>54.23</v>
      </c>
      <c r="N90" t="s">
        <v>89</v>
      </c>
      <c r="O90" t="s">
        <v>22</v>
      </c>
      <c r="P90" t="s">
        <v>119</v>
      </c>
    </row>
    <row r="91" spans="1:16" hidden="1">
      <c r="A91" t="s">
        <v>87</v>
      </c>
      <c r="B91" t="s">
        <v>30</v>
      </c>
      <c r="C91" t="s">
        <v>26</v>
      </c>
      <c r="D91">
        <v>1</v>
      </c>
      <c r="E91">
        <v>2</v>
      </c>
      <c r="F91" t="s">
        <v>19</v>
      </c>
      <c r="G91" t="s">
        <v>88</v>
      </c>
      <c r="H91">
        <v>0</v>
      </c>
      <c r="I91">
        <v>158.41999999999999</v>
      </c>
      <c r="J91">
        <v>1</v>
      </c>
      <c r="K91">
        <v>1</v>
      </c>
      <c r="L91">
        <v>54.22</v>
      </c>
      <c r="M91">
        <v>54.22</v>
      </c>
      <c r="N91" t="s">
        <v>89</v>
      </c>
      <c r="O91" t="s">
        <v>22</v>
      </c>
      <c r="P91" t="s">
        <v>120</v>
      </c>
    </row>
    <row r="92" spans="1:16" hidden="1">
      <c r="A92" t="s">
        <v>87</v>
      </c>
      <c r="B92" t="s">
        <v>30</v>
      </c>
      <c r="C92" t="s">
        <v>26</v>
      </c>
      <c r="D92">
        <v>1</v>
      </c>
      <c r="E92">
        <v>3</v>
      </c>
      <c r="F92" t="s">
        <v>19</v>
      </c>
      <c r="G92" t="s">
        <v>88</v>
      </c>
      <c r="H92">
        <v>0</v>
      </c>
      <c r="I92">
        <v>158.41999999999999</v>
      </c>
      <c r="J92">
        <v>1</v>
      </c>
      <c r="K92">
        <v>1</v>
      </c>
      <c r="L92">
        <v>54.22</v>
      </c>
      <c r="M92">
        <v>54.22</v>
      </c>
      <c r="N92" t="s">
        <v>89</v>
      </c>
      <c r="O92" t="s">
        <v>22</v>
      </c>
      <c r="P92" t="s">
        <v>121</v>
      </c>
    </row>
    <row r="93" spans="1:16" hidden="1">
      <c r="A93" t="s">
        <v>87</v>
      </c>
      <c r="B93" t="s">
        <v>30</v>
      </c>
      <c r="C93" t="s">
        <v>26</v>
      </c>
      <c r="D93">
        <v>1</v>
      </c>
      <c r="E93">
        <v>4</v>
      </c>
      <c r="F93" t="s">
        <v>19</v>
      </c>
      <c r="G93" t="s">
        <v>88</v>
      </c>
      <c r="H93">
        <v>0</v>
      </c>
      <c r="I93">
        <v>158.41</v>
      </c>
      <c r="J93">
        <v>1</v>
      </c>
      <c r="K93">
        <v>1</v>
      </c>
      <c r="L93">
        <v>54.23</v>
      </c>
      <c r="M93">
        <v>54.23</v>
      </c>
      <c r="N93" t="s">
        <v>89</v>
      </c>
      <c r="O93" t="s">
        <v>22</v>
      </c>
      <c r="P93" t="s">
        <v>122</v>
      </c>
    </row>
    <row r="94" spans="1:16" hidden="1">
      <c r="A94" t="s">
        <v>87</v>
      </c>
      <c r="B94" t="s">
        <v>30</v>
      </c>
      <c r="C94" t="s">
        <v>26</v>
      </c>
      <c r="D94">
        <v>1</v>
      </c>
      <c r="E94">
        <v>5</v>
      </c>
      <c r="F94" t="s">
        <v>19</v>
      </c>
      <c r="G94" t="s">
        <v>88</v>
      </c>
      <c r="H94">
        <v>0</v>
      </c>
      <c r="I94">
        <v>158.4</v>
      </c>
      <c r="J94">
        <v>1</v>
      </c>
      <c r="K94">
        <v>1</v>
      </c>
      <c r="L94">
        <v>54.23</v>
      </c>
      <c r="M94">
        <v>54.23</v>
      </c>
      <c r="N94" t="s">
        <v>89</v>
      </c>
      <c r="O94" t="s">
        <v>22</v>
      </c>
      <c r="P94" t="s">
        <v>123</v>
      </c>
    </row>
    <row r="95" spans="1:16" hidden="1">
      <c r="A95" t="s">
        <v>87</v>
      </c>
      <c r="B95" t="s">
        <v>30</v>
      </c>
      <c r="C95" t="s">
        <v>26</v>
      </c>
      <c r="D95">
        <v>2</v>
      </c>
      <c r="E95">
        <v>1</v>
      </c>
      <c r="F95" t="s">
        <v>19</v>
      </c>
      <c r="G95" t="s">
        <v>88</v>
      </c>
      <c r="H95">
        <v>0</v>
      </c>
      <c r="I95">
        <v>79.209999999999994</v>
      </c>
      <c r="J95">
        <v>2</v>
      </c>
      <c r="K95">
        <v>2</v>
      </c>
      <c r="L95">
        <v>108.45</v>
      </c>
      <c r="M95">
        <v>54.23</v>
      </c>
      <c r="N95" t="s">
        <v>89</v>
      </c>
      <c r="O95" t="s">
        <v>22</v>
      </c>
      <c r="P95" t="s">
        <v>124</v>
      </c>
    </row>
    <row r="96" spans="1:16" hidden="1">
      <c r="A96" t="s">
        <v>87</v>
      </c>
      <c r="B96" t="s">
        <v>30</v>
      </c>
      <c r="C96" t="s">
        <v>26</v>
      </c>
      <c r="D96">
        <v>2</v>
      </c>
      <c r="E96">
        <v>2</v>
      </c>
      <c r="F96" t="s">
        <v>19</v>
      </c>
      <c r="G96" t="s">
        <v>88</v>
      </c>
      <c r="H96">
        <v>0</v>
      </c>
      <c r="I96">
        <v>79.209999999999994</v>
      </c>
      <c r="J96">
        <v>2</v>
      </c>
      <c r="K96">
        <v>2</v>
      </c>
      <c r="L96">
        <v>108.45</v>
      </c>
      <c r="M96">
        <v>54.22</v>
      </c>
      <c r="N96" t="s">
        <v>89</v>
      </c>
      <c r="O96" t="s">
        <v>22</v>
      </c>
      <c r="P96" t="s">
        <v>125</v>
      </c>
    </row>
    <row r="97" spans="1:16" hidden="1">
      <c r="A97" t="s">
        <v>87</v>
      </c>
      <c r="B97" t="s">
        <v>30</v>
      </c>
      <c r="C97" t="s">
        <v>26</v>
      </c>
      <c r="D97">
        <v>2</v>
      </c>
      <c r="E97">
        <v>3</v>
      </c>
      <c r="F97" t="s">
        <v>19</v>
      </c>
      <c r="G97" t="s">
        <v>88</v>
      </c>
      <c r="H97">
        <v>0</v>
      </c>
      <c r="I97">
        <v>79.209999999999994</v>
      </c>
      <c r="J97">
        <v>2</v>
      </c>
      <c r="K97">
        <v>2</v>
      </c>
      <c r="L97">
        <v>108.45</v>
      </c>
      <c r="M97">
        <v>54.22</v>
      </c>
      <c r="N97" t="s">
        <v>89</v>
      </c>
      <c r="O97" t="s">
        <v>22</v>
      </c>
      <c r="P97" t="s">
        <v>126</v>
      </c>
    </row>
    <row r="98" spans="1:16" hidden="1">
      <c r="A98" t="s">
        <v>87</v>
      </c>
      <c r="B98" t="s">
        <v>30</v>
      </c>
      <c r="C98" t="s">
        <v>26</v>
      </c>
      <c r="D98">
        <v>2</v>
      </c>
      <c r="E98">
        <v>4</v>
      </c>
      <c r="F98" t="s">
        <v>19</v>
      </c>
      <c r="G98" t="s">
        <v>88</v>
      </c>
      <c r="H98">
        <v>0</v>
      </c>
      <c r="I98">
        <v>79.2</v>
      </c>
      <c r="J98">
        <v>2</v>
      </c>
      <c r="K98">
        <v>2</v>
      </c>
      <c r="L98">
        <v>108.46</v>
      </c>
      <c r="M98">
        <v>54.23</v>
      </c>
      <c r="N98" t="s">
        <v>89</v>
      </c>
      <c r="O98" t="s">
        <v>22</v>
      </c>
      <c r="P98" t="s">
        <v>127</v>
      </c>
    </row>
    <row r="99" spans="1:16" hidden="1">
      <c r="A99" t="s">
        <v>87</v>
      </c>
      <c r="B99" t="s">
        <v>30</v>
      </c>
      <c r="C99" t="s">
        <v>26</v>
      </c>
      <c r="D99">
        <v>2</v>
      </c>
      <c r="E99">
        <v>5</v>
      </c>
      <c r="F99" t="s">
        <v>19</v>
      </c>
      <c r="G99" t="s">
        <v>88</v>
      </c>
      <c r="H99">
        <v>0</v>
      </c>
      <c r="I99">
        <v>79.22</v>
      </c>
      <c r="J99">
        <v>2</v>
      </c>
      <c r="K99">
        <v>2</v>
      </c>
      <c r="L99">
        <v>108.44</v>
      </c>
      <c r="M99">
        <v>54.22</v>
      </c>
      <c r="N99" t="s">
        <v>89</v>
      </c>
      <c r="O99" t="s">
        <v>22</v>
      </c>
      <c r="P99" t="s">
        <v>128</v>
      </c>
    </row>
    <row r="100" spans="1:16" hidden="1">
      <c r="A100" t="s">
        <v>87</v>
      </c>
      <c r="B100" t="s">
        <v>30</v>
      </c>
      <c r="C100" t="s">
        <v>26</v>
      </c>
      <c r="D100">
        <v>4</v>
      </c>
      <c r="E100">
        <v>1</v>
      </c>
      <c r="F100" t="s">
        <v>19</v>
      </c>
      <c r="G100" t="s">
        <v>88</v>
      </c>
      <c r="H100">
        <v>0</v>
      </c>
      <c r="I100">
        <v>39.6</v>
      </c>
      <c r="J100">
        <v>4</v>
      </c>
      <c r="K100">
        <v>4</v>
      </c>
      <c r="L100">
        <v>216.91</v>
      </c>
      <c r="M100">
        <v>54.23</v>
      </c>
      <c r="N100" t="s">
        <v>89</v>
      </c>
      <c r="O100" t="s">
        <v>22</v>
      </c>
      <c r="P100" t="s">
        <v>129</v>
      </c>
    </row>
    <row r="101" spans="1:16" hidden="1">
      <c r="A101" t="s">
        <v>87</v>
      </c>
      <c r="B101" t="s">
        <v>30</v>
      </c>
      <c r="C101" t="s">
        <v>26</v>
      </c>
      <c r="D101">
        <v>4</v>
      </c>
      <c r="E101">
        <v>2</v>
      </c>
      <c r="F101" t="s">
        <v>19</v>
      </c>
      <c r="G101" t="s">
        <v>88</v>
      </c>
      <c r="H101">
        <v>0</v>
      </c>
      <c r="I101">
        <v>39.61</v>
      </c>
      <c r="J101">
        <v>4</v>
      </c>
      <c r="K101">
        <v>4</v>
      </c>
      <c r="L101">
        <v>216.87</v>
      </c>
      <c r="M101">
        <v>54.22</v>
      </c>
      <c r="N101" t="s">
        <v>89</v>
      </c>
      <c r="O101" t="s">
        <v>22</v>
      </c>
      <c r="P101" t="s">
        <v>130</v>
      </c>
    </row>
    <row r="102" spans="1:16" hidden="1">
      <c r="A102" t="s">
        <v>87</v>
      </c>
      <c r="B102" t="s">
        <v>30</v>
      </c>
      <c r="C102" t="s">
        <v>26</v>
      </c>
      <c r="D102">
        <v>4</v>
      </c>
      <c r="E102">
        <v>3</v>
      </c>
      <c r="F102" t="s">
        <v>19</v>
      </c>
      <c r="G102" t="s">
        <v>88</v>
      </c>
      <c r="H102">
        <v>0</v>
      </c>
      <c r="I102">
        <v>39.6</v>
      </c>
      <c r="J102">
        <v>4</v>
      </c>
      <c r="K102">
        <v>4</v>
      </c>
      <c r="L102">
        <v>216.92</v>
      </c>
      <c r="M102">
        <v>54.23</v>
      </c>
      <c r="N102" t="s">
        <v>89</v>
      </c>
      <c r="O102" t="s">
        <v>22</v>
      </c>
      <c r="P102" t="s">
        <v>131</v>
      </c>
    </row>
    <row r="103" spans="1:16" hidden="1">
      <c r="A103" t="s">
        <v>87</v>
      </c>
      <c r="B103" t="s">
        <v>30</v>
      </c>
      <c r="C103" t="s">
        <v>26</v>
      </c>
      <c r="D103">
        <v>4</v>
      </c>
      <c r="E103">
        <v>4</v>
      </c>
      <c r="F103" t="s">
        <v>19</v>
      </c>
      <c r="G103" t="s">
        <v>88</v>
      </c>
      <c r="H103">
        <v>0</v>
      </c>
      <c r="I103">
        <v>39.61</v>
      </c>
      <c r="J103">
        <v>4</v>
      </c>
      <c r="K103">
        <v>4</v>
      </c>
      <c r="L103">
        <v>216.87</v>
      </c>
      <c r="M103">
        <v>54.22</v>
      </c>
      <c r="N103" t="s">
        <v>89</v>
      </c>
      <c r="O103" t="s">
        <v>22</v>
      </c>
      <c r="P103" t="s">
        <v>132</v>
      </c>
    </row>
    <row r="104" spans="1:16" hidden="1">
      <c r="A104" t="s">
        <v>87</v>
      </c>
      <c r="B104" t="s">
        <v>30</v>
      </c>
      <c r="C104" t="s">
        <v>26</v>
      </c>
      <c r="D104">
        <v>4</v>
      </c>
      <c r="E104">
        <v>5</v>
      </c>
      <c r="F104" t="s">
        <v>19</v>
      </c>
      <c r="G104" t="s">
        <v>88</v>
      </c>
      <c r="H104">
        <v>0</v>
      </c>
      <c r="I104">
        <v>39.61</v>
      </c>
      <c r="J104">
        <v>4</v>
      </c>
      <c r="K104">
        <v>4</v>
      </c>
      <c r="L104">
        <v>216.89</v>
      </c>
      <c r="M104">
        <v>54.22</v>
      </c>
      <c r="N104" t="s">
        <v>89</v>
      </c>
      <c r="O104" t="s">
        <v>22</v>
      </c>
      <c r="P104" t="s">
        <v>133</v>
      </c>
    </row>
    <row r="105" spans="1:16" hidden="1">
      <c r="A105" t="s">
        <v>87</v>
      </c>
      <c r="B105" t="s">
        <v>30</v>
      </c>
      <c r="C105" t="s">
        <v>26</v>
      </c>
      <c r="D105">
        <v>8</v>
      </c>
      <c r="E105">
        <v>1</v>
      </c>
      <c r="F105" t="s">
        <v>19</v>
      </c>
      <c r="G105" t="s">
        <v>88</v>
      </c>
      <c r="H105">
        <v>0</v>
      </c>
      <c r="I105">
        <v>22.41</v>
      </c>
      <c r="J105">
        <v>8</v>
      </c>
      <c r="K105">
        <v>8</v>
      </c>
      <c r="L105">
        <v>383.38</v>
      </c>
      <c r="M105">
        <v>47.92</v>
      </c>
      <c r="N105" t="s">
        <v>89</v>
      </c>
      <c r="O105" t="s">
        <v>22</v>
      </c>
      <c r="P105" t="s">
        <v>134</v>
      </c>
    </row>
    <row r="106" spans="1:16" hidden="1">
      <c r="A106" t="s">
        <v>87</v>
      </c>
      <c r="B106" t="s">
        <v>30</v>
      </c>
      <c r="C106" t="s">
        <v>26</v>
      </c>
      <c r="D106">
        <v>8</v>
      </c>
      <c r="E106">
        <v>2</v>
      </c>
      <c r="F106" t="s">
        <v>19</v>
      </c>
      <c r="G106" t="s">
        <v>88</v>
      </c>
      <c r="H106">
        <v>0</v>
      </c>
      <c r="I106">
        <v>22.41</v>
      </c>
      <c r="J106">
        <v>8</v>
      </c>
      <c r="K106">
        <v>8</v>
      </c>
      <c r="L106">
        <v>383.38</v>
      </c>
      <c r="M106">
        <v>47.92</v>
      </c>
      <c r="N106" t="s">
        <v>89</v>
      </c>
      <c r="O106" t="s">
        <v>22</v>
      </c>
      <c r="P106" t="s">
        <v>135</v>
      </c>
    </row>
    <row r="107" spans="1:16" hidden="1">
      <c r="A107" t="s">
        <v>87</v>
      </c>
      <c r="B107" t="s">
        <v>30</v>
      </c>
      <c r="C107" t="s">
        <v>26</v>
      </c>
      <c r="D107">
        <v>8</v>
      </c>
      <c r="E107">
        <v>3</v>
      </c>
      <c r="F107" t="s">
        <v>19</v>
      </c>
      <c r="G107" t="s">
        <v>88</v>
      </c>
      <c r="H107">
        <v>0</v>
      </c>
      <c r="I107">
        <v>22.4</v>
      </c>
      <c r="J107">
        <v>8</v>
      </c>
      <c r="K107">
        <v>8</v>
      </c>
      <c r="L107">
        <v>383.42</v>
      </c>
      <c r="M107">
        <v>47.93</v>
      </c>
      <c r="N107" t="s">
        <v>89</v>
      </c>
      <c r="O107" t="s">
        <v>22</v>
      </c>
      <c r="P107" t="s">
        <v>136</v>
      </c>
    </row>
    <row r="108" spans="1:16" hidden="1">
      <c r="A108" t="s">
        <v>87</v>
      </c>
      <c r="B108" t="s">
        <v>30</v>
      </c>
      <c r="C108" t="s">
        <v>26</v>
      </c>
      <c r="D108">
        <v>8</v>
      </c>
      <c r="E108">
        <v>4</v>
      </c>
      <c r="F108" t="s">
        <v>19</v>
      </c>
      <c r="G108" t="s">
        <v>88</v>
      </c>
      <c r="H108">
        <v>0</v>
      </c>
      <c r="I108">
        <v>22.4</v>
      </c>
      <c r="J108">
        <v>8</v>
      </c>
      <c r="K108">
        <v>8</v>
      </c>
      <c r="L108">
        <v>383.46</v>
      </c>
      <c r="M108">
        <v>47.93</v>
      </c>
      <c r="N108" t="s">
        <v>89</v>
      </c>
      <c r="O108" t="s">
        <v>22</v>
      </c>
      <c r="P108" t="s">
        <v>137</v>
      </c>
    </row>
    <row r="109" spans="1:16" hidden="1">
      <c r="A109" t="s">
        <v>87</v>
      </c>
      <c r="B109" t="s">
        <v>30</v>
      </c>
      <c r="C109" t="s">
        <v>26</v>
      </c>
      <c r="D109">
        <v>8</v>
      </c>
      <c r="E109">
        <v>5</v>
      </c>
      <c r="F109" t="s">
        <v>19</v>
      </c>
      <c r="G109" t="s">
        <v>88</v>
      </c>
      <c r="H109">
        <v>0</v>
      </c>
      <c r="I109">
        <v>22.4</v>
      </c>
      <c r="J109">
        <v>8</v>
      </c>
      <c r="K109">
        <v>8</v>
      </c>
      <c r="L109">
        <v>383.48</v>
      </c>
      <c r="M109">
        <v>47.94</v>
      </c>
      <c r="N109" t="s">
        <v>89</v>
      </c>
      <c r="O109" t="s">
        <v>22</v>
      </c>
      <c r="P109" t="s">
        <v>138</v>
      </c>
    </row>
    <row r="110" spans="1:16">
      <c r="A110" t="s">
        <v>139</v>
      </c>
      <c r="B110" t="s">
        <v>17</v>
      </c>
      <c r="C110" t="s">
        <v>18</v>
      </c>
      <c r="D110">
        <v>1</v>
      </c>
      <c r="E110">
        <v>1</v>
      </c>
      <c r="F110" t="s">
        <v>19</v>
      </c>
      <c r="G110" t="s">
        <v>20</v>
      </c>
      <c r="H110">
        <v>400</v>
      </c>
      <c r="I110">
        <v>424.33</v>
      </c>
      <c r="J110">
        <v>1</v>
      </c>
      <c r="K110">
        <v>1</v>
      </c>
      <c r="L110">
        <v>3417.4</v>
      </c>
      <c r="M110">
        <v>3417.4</v>
      </c>
      <c r="N110" t="s">
        <v>21</v>
      </c>
      <c r="O110" t="s">
        <v>22</v>
      </c>
      <c r="P110" t="s">
        <v>140</v>
      </c>
    </row>
    <row r="111" spans="1:16">
      <c r="A111" t="s">
        <v>139</v>
      </c>
      <c r="B111" t="s">
        <v>17</v>
      </c>
      <c r="C111" t="s">
        <v>18</v>
      </c>
      <c r="D111">
        <v>4</v>
      </c>
      <c r="E111">
        <v>1</v>
      </c>
      <c r="F111" t="s">
        <v>19</v>
      </c>
      <c r="G111" t="s">
        <v>20</v>
      </c>
      <c r="H111">
        <v>400</v>
      </c>
      <c r="I111">
        <v>108.41</v>
      </c>
      <c r="J111">
        <v>4</v>
      </c>
      <c r="K111">
        <v>4</v>
      </c>
      <c r="L111">
        <v>13376.61</v>
      </c>
      <c r="M111">
        <v>3344.15</v>
      </c>
      <c r="N111" t="s">
        <v>21</v>
      </c>
      <c r="O111" t="s">
        <v>22</v>
      </c>
      <c r="P111" t="s">
        <v>141</v>
      </c>
    </row>
    <row r="112" spans="1:16">
      <c r="A112" t="s">
        <v>139</v>
      </c>
      <c r="B112" t="s">
        <v>17</v>
      </c>
      <c r="C112" t="s">
        <v>18</v>
      </c>
      <c r="D112">
        <v>16</v>
      </c>
      <c r="E112">
        <v>1</v>
      </c>
      <c r="F112" t="s">
        <v>19</v>
      </c>
      <c r="G112" t="s">
        <v>20</v>
      </c>
      <c r="H112">
        <v>400</v>
      </c>
      <c r="I112">
        <v>98.41</v>
      </c>
      <c r="J112">
        <v>16</v>
      </c>
      <c r="K112">
        <v>16</v>
      </c>
      <c r="L112">
        <v>14735.63</v>
      </c>
      <c r="M112">
        <v>920.98</v>
      </c>
      <c r="N112" t="s">
        <v>21</v>
      </c>
      <c r="O112" t="s">
        <v>22</v>
      </c>
      <c r="P112" t="s">
        <v>142</v>
      </c>
    </row>
    <row r="113" spans="1:16">
      <c r="A113" t="s">
        <v>139</v>
      </c>
      <c r="B113" t="s">
        <v>17</v>
      </c>
      <c r="C113" t="s">
        <v>26</v>
      </c>
      <c r="D113">
        <v>1</v>
      </c>
      <c r="E113">
        <v>1</v>
      </c>
      <c r="F113" t="s">
        <v>19</v>
      </c>
      <c r="G113" t="s">
        <v>20</v>
      </c>
      <c r="H113">
        <v>400</v>
      </c>
      <c r="I113">
        <v>430.24</v>
      </c>
      <c r="J113">
        <v>1</v>
      </c>
      <c r="K113">
        <v>1</v>
      </c>
      <c r="L113">
        <v>3370.46</v>
      </c>
      <c r="M113">
        <v>3370.46</v>
      </c>
      <c r="N113" t="s">
        <v>21</v>
      </c>
      <c r="O113" t="s">
        <v>22</v>
      </c>
      <c r="P113" t="s">
        <v>143</v>
      </c>
    </row>
    <row r="114" spans="1:16">
      <c r="A114" t="s">
        <v>139</v>
      </c>
      <c r="B114" t="s">
        <v>17</v>
      </c>
      <c r="C114" t="s">
        <v>26</v>
      </c>
      <c r="D114">
        <v>4</v>
      </c>
      <c r="E114">
        <v>1</v>
      </c>
      <c r="F114" t="s">
        <v>19</v>
      </c>
      <c r="G114" t="s">
        <v>20</v>
      </c>
      <c r="H114">
        <v>400</v>
      </c>
      <c r="I114">
        <v>108.64</v>
      </c>
      <c r="J114">
        <v>4</v>
      </c>
      <c r="K114">
        <v>4</v>
      </c>
      <c r="L114">
        <v>13347.32</v>
      </c>
      <c r="M114">
        <v>3336.83</v>
      </c>
      <c r="N114" t="s">
        <v>21</v>
      </c>
      <c r="O114" t="s">
        <v>22</v>
      </c>
      <c r="P114" t="s">
        <v>144</v>
      </c>
    </row>
    <row r="115" spans="1:16">
      <c r="A115" t="s">
        <v>139</v>
      </c>
      <c r="B115" t="s">
        <v>17</v>
      </c>
      <c r="C115" t="s">
        <v>26</v>
      </c>
      <c r="D115">
        <v>16</v>
      </c>
      <c r="E115">
        <v>1</v>
      </c>
      <c r="F115" t="s">
        <v>19</v>
      </c>
      <c r="G115" t="s">
        <v>20</v>
      </c>
      <c r="H115">
        <v>400</v>
      </c>
      <c r="I115">
        <v>95.92</v>
      </c>
      <c r="J115">
        <v>16</v>
      </c>
      <c r="K115">
        <v>16</v>
      </c>
      <c r="L115">
        <v>15118.36</v>
      </c>
      <c r="M115">
        <v>944.9</v>
      </c>
      <c r="N115" t="s">
        <v>21</v>
      </c>
      <c r="O115" t="s">
        <v>22</v>
      </c>
      <c r="P115" t="s">
        <v>145</v>
      </c>
    </row>
    <row r="116" spans="1:16">
      <c r="A116" t="s">
        <v>139</v>
      </c>
      <c r="B116" t="s">
        <v>30</v>
      </c>
      <c r="C116" t="s">
        <v>18</v>
      </c>
      <c r="D116">
        <v>1</v>
      </c>
      <c r="E116">
        <v>1</v>
      </c>
      <c r="F116" t="s">
        <v>19</v>
      </c>
      <c r="G116" t="s">
        <v>20</v>
      </c>
      <c r="H116">
        <v>400</v>
      </c>
      <c r="I116">
        <v>522.28</v>
      </c>
      <c r="J116">
        <v>1</v>
      </c>
      <c r="K116">
        <v>1</v>
      </c>
      <c r="L116">
        <v>2776.47</v>
      </c>
      <c r="M116">
        <v>2776.47</v>
      </c>
      <c r="N116" t="s">
        <v>21</v>
      </c>
      <c r="O116" t="s">
        <v>22</v>
      </c>
      <c r="P116" t="s">
        <v>146</v>
      </c>
    </row>
    <row r="117" spans="1:16">
      <c r="A117" t="s">
        <v>139</v>
      </c>
      <c r="B117" t="s">
        <v>30</v>
      </c>
      <c r="C117" t="s">
        <v>18</v>
      </c>
      <c r="D117">
        <v>4</v>
      </c>
      <c r="E117">
        <v>1</v>
      </c>
      <c r="F117" t="s">
        <v>19</v>
      </c>
      <c r="G117" t="s">
        <v>20</v>
      </c>
      <c r="H117">
        <v>400</v>
      </c>
      <c r="I117">
        <v>133.71</v>
      </c>
      <c r="J117">
        <v>4</v>
      </c>
      <c r="K117">
        <v>4</v>
      </c>
      <c r="L117">
        <v>10845.39</v>
      </c>
      <c r="M117">
        <v>2711.35</v>
      </c>
      <c r="N117" t="s">
        <v>21</v>
      </c>
      <c r="O117" t="s">
        <v>22</v>
      </c>
      <c r="P117" t="s">
        <v>147</v>
      </c>
    </row>
    <row r="118" spans="1:16">
      <c r="A118" t="s">
        <v>139</v>
      </c>
      <c r="B118" t="s">
        <v>30</v>
      </c>
      <c r="C118" t="s">
        <v>18</v>
      </c>
      <c r="D118">
        <v>16</v>
      </c>
      <c r="E118">
        <v>1</v>
      </c>
      <c r="F118" t="s">
        <v>19</v>
      </c>
      <c r="G118" t="s">
        <v>20</v>
      </c>
      <c r="H118">
        <v>400</v>
      </c>
      <c r="I118">
        <v>101.36</v>
      </c>
      <c r="J118">
        <v>16</v>
      </c>
      <c r="K118">
        <v>16</v>
      </c>
      <c r="L118">
        <v>14306.47</v>
      </c>
      <c r="M118">
        <v>894.15</v>
      </c>
      <c r="N118" t="s">
        <v>21</v>
      </c>
      <c r="O118" t="s">
        <v>22</v>
      </c>
      <c r="P118" t="s">
        <v>148</v>
      </c>
    </row>
    <row r="119" spans="1:16">
      <c r="A119" t="s">
        <v>139</v>
      </c>
      <c r="B119" t="s">
        <v>30</v>
      </c>
      <c r="C119" t="s">
        <v>26</v>
      </c>
      <c r="D119">
        <v>1</v>
      </c>
      <c r="E119">
        <v>1</v>
      </c>
      <c r="F119" t="s">
        <v>19</v>
      </c>
      <c r="G119" t="s">
        <v>20</v>
      </c>
      <c r="H119">
        <v>400</v>
      </c>
      <c r="I119">
        <v>519.23</v>
      </c>
      <c r="J119">
        <v>1</v>
      </c>
      <c r="K119">
        <v>1</v>
      </c>
      <c r="L119">
        <v>2792.78</v>
      </c>
      <c r="M119">
        <v>2792.78</v>
      </c>
      <c r="N119" t="s">
        <v>21</v>
      </c>
      <c r="O119" t="s">
        <v>22</v>
      </c>
      <c r="P119" t="s">
        <v>149</v>
      </c>
    </row>
    <row r="120" spans="1:16">
      <c r="A120" t="s">
        <v>139</v>
      </c>
      <c r="B120" t="s">
        <v>30</v>
      </c>
      <c r="C120" t="s">
        <v>26</v>
      </c>
      <c r="D120">
        <v>4</v>
      </c>
      <c r="E120">
        <v>1</v>
      </c>
      <c r="F120" t="s">
        <v>19</v>
      </c>
      <c r="G120" t="s">
        <v>20</v>
      </c>
      <c r="H120">
        <v>400</v>
      </c>
      <c r="I120">
        <v>133.68</v>
      </c>
      <c r="J120">
        <v>4</v>
      </c>
      <c r="K120">
        <v>4</v>
      </c>
      <c r="L120">
        <v>10847.36</v>
      </c>
      <c r="M120">
        <v>2711.84</v>
      </c>
      <c r="N120" t="s">
        <v>21</v>
      </c>
      <c r="O120" t="s">
        <v>22</v>
      </c>
      <c r="P120" t="s">
        <v>150</v>
      </c>
    </row>
    <row r="121" spans="1:16">
      <c r="A121" t="s">
        <v>139</v>
      </c>
      <c r="B121" t="s">
        <v>30</v>
      </c>
      <c r="C121" t="s">
        <v>26</v>
      </c>
      <c r="D121">
        <v>16</v>
      </c>
      <c r="E121">
        <v>1</v>
      </c>
      <c r="F121" t="s">
        <v>19</v>
      </c>
      <c r="G121" t="s">
        <v>20</v>
      </c>
      <c r="H121">
        <v>400</v>
      </c>
      <c r="I121">
        <v>102.91</v>
      </c>
      <c r="J121">
        <v>16</v>
      </c>
      <c r="K121">
        <v>16</v>
      </c>
      <c r="L121">
        <v>14091.34</v>
      </c>
      <c r="M121">
        <v>880.71</v>
      </c>
      <c r="N121" t="s">
        <v>21</v>
      </c>
      <c r="O121" t="s">
        <v>22</v>
      </c>
      <c r="P121" t="s">
        <v>151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109C08-C1E1-8D49-95D0-B361A8A2BE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BT</vt:lpstr>
      <vt:lpstr>CG</vt:lpstr>
      <vt:lpstr>EP</vt:lpstr>
      <vt:lpstr>SP</vt:lpstr>
      <vt:lpstr>native-bt_cg_ep_sp_extracted_re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2026-03-23T05:36:29Z</dcterms:created>
  <dcterms:modified xsi:type="dcterms:W3CDTF">2026-05-02T10:18:25Z</dcterms:modified>
</cp:coreProperties>
</file>